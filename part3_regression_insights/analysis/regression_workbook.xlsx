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e5c234706177ab/Desktop/Tài liệu/"/>
    </mc:Choice>
  </mc:AlternateContent>
  <xr:revisionPtr revIDLastSave="1194" documentId="8_{186EDD29-AC9A-48F9-8412-742FF150047C}" xr6:coauthVersionLast="47" xr6:coauthVersionMax="47" xr10:uidLastSave="{DC174478-00FF-4A61-9C59-3D54BD123947}"/>
  <bookViews>
    <workbookView xWindow="-103" yWindow="-103" windowWidth="16663" windowHeight="9772" firstSheet="5" activeTab="6" xr2:uid="{092E8411-3CC9-412B-99AE-B3A305D39546}"/>
  </bookViews>
  <sheets>
    <sheet name="Original_Data" sheetId="1" r:id="rId1"/>
    <sheet name="Cleaned_Data" sheetId="2" r:id="rId2"/>
    <sheet name="Model_Comparison" sheetId="15" r:id="rId3"/>
    <sheet name="Dummy_Variables" sheetId="3" r:id="rId4"/>
    <sheet name="Simple_Regression_1" sheetId="12" r:id="rId5"/>
    <sheet name="Simple_Regression_2" sheetId="13" r:id="rId6"/>
    <sheet name="Multiple_Regression" sheetId="14" r:id="rId7"/>
    <sheet name="Predictions_Residuals" sheetId="7" r:id="rId8"/>
  </sheets>
  <definedNames>
    <definedName name="_xlnm._FilterDatabase" localSheetId="3" hidden="1">Dummy_Variables!$A$1:$N$321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P3" i="3"/>
  <c r="Q3" i="3"/>
  <c r="R3" i="3"/>
  <c r="S3" i="3"/>
  <c r="T3" i="3"/>
  <c r="O4" i="3"/>
  <c r="P4" i="3"/>
  <c r="Q4" i="3"/>
  <c r="R4" i="3"/>
  <c r="S4" i="3"/>
  <c r="T4" i="3"/>
  <c r="O5" i="3"/>
  <c r="P5" i="3"/>
  <c r="Q5" i="3"/>
  <c r="R5" i="3"/>
  <c r="S5" i="3"/>
  <c r="T5" i="3"/>
  <c r="O6" i="3"/>
  <c r="P6" i="3"/>
  <c r="Q6" i="3"/>
  <c r="R6" i="3"/>
  <c r="S6" i="3"/>
  <c r="T6" i="3"/>
  <c r="O7" i="3"/>
  <c r="P7" i="3"/>
  <c r="Q7" i="3"/>
  <c r="R7" i="3"/>
  <c r="S7" i="3"/>
  <c r="T7" i="3"/>
  <c r="O8" i="3"/>
  <c r="P8" i="3"/>
  <c r="Q8" i="3"/>
  <c r="R8" i="3"/>
  <c r="S8" i="3"/>
  <c r="T8" i="3"/>
  <c r="O9" i="3"/>
  <c r="P9" i="3"/>
  <c r="Q9" i="3"/>
  <c r="R9" i="3"/>
  <c r="S9" i="3"/>
  <c r="T9" i="3"/>
  <c r="O10" i="3"/>
  <c r="P10" i="3"/>
  <c r="Q10" i="3"/>
  <c r="R10" i="3"/>
  <c r="S10" i="3"/>
  <c r="T10" i="3"/>
  <c r="O11" i="3"/>
  <c r="P11" i="3"/>
  <c r="Q11" i="3"/>
  <c r="R11" i="3"/>
  <c r="S11" i="3"/>
  <c r="T11" i="3"/>
  <c r="O12" i="3"/>
  <c r="P12" i="3"/>
  <c r="Q12" i="3"/>
  <c r="R12" i="3"/>
  <c r="S12" i="3"/>
  <c r="T12" i="3"/>
  <c r="O13" i="3"/>
  <c r="P13" i="3"/>
  <c r="Q13" i="3"/>
  <c r="R13" i="3"/>
  <c r="S13" i="3"/>
  <c r="T13" i="3"/>
  <c r="O14" i="3"/>
  <c r="P14" i="3"/>
  <c r="Q14" i="3"/>
  <c r="R14" i="3"/>
  <c r="S14" i="3"/>
  <c r="T14" i="3"/>
  <c r="O15" i="3"/>
  <c r="P15" i="3"/>
  <c r="Q15" i="3"/>
  <c r="R15" i="3"/>
  <c r="S15" i="3"/>
  <c r="T15" i="3"/>
  <c r="O16" i="3"/>
  <c r="P16" i="3"/>
  <c r="Q16" i="3"/>
  <c r="R16" i="3"/>
  <c r="S16" i="3"/>
  <c r="T16" i="3"/>
  <c r="O17" i="3"/>
  <c r="P17" i="3"/>
  <c r="Q17" i="3"/>
  <c r="R17" i="3"/>
  <c r="S17" i="3"/>
  <c r="T17" i="3"/>
  <c r="O18" i="3"/>
  <c r="P18" i="3"/>
  <c r="Q18" i="3"/>
  <c r="R18" i="3"/>
  <c r="S18" i="3"/>
  <c r="T18" i="3"/>
  <c r="O19" i="3"/>
  <c r="P19" i="3"/>
  <c r="Q19" i="3"/>
  <c r="R19" i="3"/>
  <c r="S19" i="3"/>
  <c r="T19" i="3"/>
  <c r="O20" i="3"/>
  <c r="P20" i="3"/>
  <c r="Q20" i="3"/>
  <c r="R20" i="3"/>
  <c r="S20" i="3"/>
  <c r="T20" i="3"/>
  <c r="O21" i="3"/>
  <c r="P21" i="3"/>
  <c r="Q21" i="3"/>
  <c r="R21" i="3"/>
  <c r="S21" i="3"/>
  <c r="T21" i="3"/>
  <c r="O22" i="3"/>
  <c r="P22" i="3"/>
  <c r="Q22" i="3"/>
  <c r="R22" i="3"/>
  <c r="S22" i="3"/>
  <c r="T22" i="3"/>
  <c r="O23" i="3"/>
  <c r="P23" i="3"/>
  <c r="Q23" i="3"/>
  <c r="R23" i="3"/>
  <c r="S23" i="3"/>
  <c r="T23" i="3"/>
  <c r="O24" i="3"/>
  <c r="P24" i="3"/>
  <c r="Q24" i="3"/>
  <c r="R24" i="3"/>
  <c r="S24" i="3"/>
  <c r="T24" i="3"/>
  <c r="O25" i="3"/>
  <c r="P25" i="3"/>
  <c r="Q25" i="3"/>
  <c r="R25" i="3"/>
  <c r="S25" i="3"/>
  <c r="T25" i="3"/>
  <c r="O26" i="3"/>
  <c r="P26" i="3"/>
  <c r="Q26" i="3"/>
  <c r="R26" i="3"/>
  <c r="S26" i="3"/>
  <c r="T26" i="3"/>
  <c r="O27" i="3"/>
  <c r="P27" i="3"/>
  <c r="Q27" i="3"/>
  <c r="R27" i="3"/>
  <c r="S27" i="3"/>
  <c r="T27" i="3"/>
  <c r="O28" i="3"/>
  <c r="P28" i="3"/>
  <c r="Q28" i="3"/>
  <c r="R28" i="3"/>
  <c r="S28" i="3"/>
  <c r="T28" i="3"/>
  <c r="O29" i="3"/>
  <c r="P29" i="3"/>
  <c r="Q29" i="3"/>
  <c r="R29" i="3"/>
  <c r="S29" i="3"/>
  <c r="T29" i="3"/>
  <c r="O30" i="3"/>
  <c r="P30" i="3"/>
  <c r="Q30" i="3"/>
  <c r="R30" i="3"/>
  <c r="S30" i="3"/>
  <c r="T30" i="3"/>
  <c r="O31" i="3"/>
  <c r="P31" i="3"/>
  <c r="Q31" i="3"/>
  <c r="R31" i="3"/>
  <c r="S31" i="3"/>
  <c r="T31" i="3"/>
  <c r="O32" i="3"/>
  <c r="P32" i="3"/>
  <c r="Q32" i="3"/>
  <c r="R32" i="3"/>
  <c r="S32" i="3"/>
  <c r="T32" i="3"/>
  <c r="O33" i="3"/>
  <c r="P33" i="3"/>
  <c r="Q33" i="3"/>
  <c r="R33" i="3"/>
  <c r="S33" i="3"/>
  <c r="T33" i="3"/>
  <c r="O34" i="3"/>
  <c r="P34" i="3"/>
  <c r="Q34" i="3"/>
  <c r="R34" i="3"/>
  <c r="S34" i="3"/>
  <c r="T34" i="3"/>
  <c r="O35" i="3"/>
  <c r="P35" i="3"/>
  <c r="Q35" i="3"/>
  <c r="R35" i="3"/>
  <c r="S35" i="3"/>
  <c r="T35" i="3"/>
  <c r="O36" i="3"/>
  <c r="P36" i="3"/>
  <c r="Q36" i="3"/>
  <c r="R36" i="3"/>
  <c r="S36" i="3"/>
  <c r="T36" i="3"/>
  <c r="O37" i="3"/>
  <c r="P37" i="3"/>
  <c r="Q37" i="3"/>
  <c r="R37" i="3"/>
  <c r="S37" i="3"/>
  <c r="T37" i="3"/>
  <c r="O38" i="3"/>
  <c r="P38" i="3"/>
  <c r="Q38" i="3"/>
  <c r="R38" i="3"/>
  <c r="S38" i="3"/>
  <c r="T38" i="3"/>
  <c r="O39" i="3"/>
  <c r="P39" i="3"/>
  <c r="Q39" i="3"/>
  <c r="R39" i="3"/>
  <c r="S39" i="3"/>
  <c r="T39" i="3"/>
  <c r="O40" i="3"/>
  <c r="P40" i="3"/>
  <c r="Q40" i="3"/>
  <c r="R40" i="3"/>
  <c r="S40" i="3"/>
  <c r="T40" i="3"/>
  <c r="O41" i="3"/>
  <c r="P41" i="3"/>
  <c r="Q41" i="3"/>
  <c r="R41" i="3"/>
  <c r="S41" i="3"/>
  <c r="T41" i="3"/>
  <c r="O42" i="3"/>
  <c r="P42" i="3"/>
  <c r="Q42" i="3"/>
  <c r="R42" i="3"/>
  <c r="S42" i="3"/>
  <c r="T42" i="3"/>
  <c r="O43" i="3"/>
  <c r="P43" i="3"/>
  <c r="Q43" i="3"/>
  <c r="R43" i="3"/>
  <c r="S43" i="3"/>
  <c r="T43" i="3"/>
  <c r="O44" i="3"/>
  <c r="P44" i="3"/>
  <c r="Q44" i="3"/>
  <c r="R44" i="3"/>
  <c r="S44" i="3"/>
  <c r="T44" i="3"/>
  <c r="O45" i="3"/>
  <c r="P45" i="3"/>
  <c r="Q45" i="3"/>
  <c r="R45" i="3"/>
  <c r="S45" i="3"/>
  <c r="T45" i="3"/>
  <c r="O46" i="3"/>
  <c r="P46" i="3"/>
  <c r="Q46" i="3"/>
  <c r="R46" i="3"/>
  <c r="S46" i="3"/>
  <c r="T46" i="3"/>
  <c r="O47" i="3"/>
  <c r="P47" i="3"/>
  <c r="Q47" i="3"/>
  <c r="R47" i="3"/>
  <c r="S47" i="3"/>
  <c r="T47" i="3"/>
  <c r="O48" i="3"/>
  <c r="P48" i="3"/>
  <c r="Q48" i="3"/>
  <c r="R48" i="3"/>
  <c r="S48" i="3"/>
  <c r="T48" i="3"/>
  <c r="O49" i="3"/>
  <c r="P49" i="3"/>
  <c r="Q49" i="3"/>
  <c r="R49" i="3"/>
  <c r="S49" i="3"/>
  <c r="T49" i="3"/>
  <c r="O50" i="3"/>
  <c r="P50" i="3"/>
  <c r="Q50" i="3"/>
  <c r="R50" i="3"/>
  <c r="S50" i="3"/>
  <c r="T50" i="3"/>
  <c r="O51" i="3"/>
  <c r="P51" i="3"/>
  <c r="Q51" i="3"/>
  <c r="R51" i="3"/>
  <c r="S51" i="3"/>
  <c r="T51" i="3"/>
  <c r="O52" i="3"/>
  <c r="P52" i="3"/>
  <c r="Q52" i="3"/>
  <c r="R52" i="3"/>
  <c r="S52" i="3"/>
  <c r="T52" i="3"/>
  <c r="O53" i="3"/>
  <c r="P53" i="3"/>
  <c r="Q53" i="3"/>
  <c r="R53" i="3"/>
  <c r="S53" i="3"/>
  <c r="T53" i="3"/>
  <c r="O54" i="3"/>
  <c r="P54" i="3"/>
  <c r="Q54" i="3"/>
  <c r="R54" i="3"/>
  <c r="S54" i="3"/>
  <c r="T54" i="3"/>
  <c r="O55" i="3"/>
  <c r="P55" i="3"/>
  <c r="Q55" i="3"/>
  <c r="R55" i="3"/>
  <c r="S55" i="3"/>
  <c r="T55" i="3"/>
  <c r="O56" i="3"/>
  <c r="P56" i="3"/>
  <c r="Q56" i="3"/>
  <c r="R56" i="3"/>
  <c r="S56" i="3"/>
  <c r="T56" i="3"/>
  <c r="O57" i="3"/>
  <c r="P57" i="3"/>
  <c r="Q57" i="3"/>
  <c r="R57" i="3"/>
  <c r="S57" i="3"/>
  <c r="T57" i="3"/>
  <c r="O58" i="3"/>
  <c r="P58" i="3"/>
  <c r="Q58" i="3"/>
  <c r="R58" i="3"/>
  <c r="S58" i="3"/>
  <c r="T58" i="3"/>
  <c r="O59" i="3"/>
  <c r="P59" i="3"/>
  <c r="Q59" i="3"/>
  <c r="R59" i="3"/>
  <c r="S59" i="3"/>
  <c r="T59" i="3"/>
  <c r="O60" i="3"/>
  <c r="P60" i="3"/>
  <c r="Q60" i="3"/>
  <c r="R60" i="3"/>
  <c r="S60" i="3"/>
  <c r="T60" i="3"/>
  <c r="O61" i="3"/>
  <c r="P61" i="3"/>
  <c r="Q61" i="3"/>
  <c r="R61" i="3"/>
  <c r="S61" i="3"/>
  <c r="T61" i="3"/>
  <c r="O62" i="3"/>
  <c r="P62" i="3"/>
  <c r="Q62" i="3"/>
  <c r="R62" i="3"/>
  <c r="S62" i="3"/>
  <c r="T62" i="3"/>
  <c r="O63" i="3"/>
  <c r="P63" i="3"/>
  <c r="Q63" i="3"/>
  <c r="R63" i="3"/>
  <c r="S63" i="3"/>
  <c r="T63" i="3"/>
  <c r="O64" i="3"/>
  <c r="P64" i="3"/>
  <c r="Q64" i="3"/>
  <c r="R64" i="3"/>
  <c r="S64" i="3"/>
  <c r="T64" i="3"/>
  <c r="O65" i="3"/>
  <c r="P65" i="3"/>
  <c r="Q65" i="3"/>
  <c r="R65" i="3"/>
  <c r="S65" i="3"/>
  <c r="T65" i="3"/>
  <c r="O66" i="3"/>
  <c r="P66" i="3"/>
  <c r="Q66" i="3"/>
  <c r="R66" i="3"/>
  <c r="S66" i="3"/>
  <c r="T66" i="3"/>
  <c r="O67" i="3"/>
  <c r="P67" i="3"/>
  <c r="Q67" i="3"/>
  <c r="R67" i="3"/>
  <c r="S67" i="3"/>
  <c r="T67" i="3"/>
  <c r="O68" i="3"/>
  <c r="P68" i="3"/>
  <c r="Q68" i="3"/>
  <c r="R68" i="3"/>
  <c r="S68" i="3"/>
  <c r="T68" i="3"/>
  <c r="O69" i="3"/>
  <c r="P69" i="3"/>
  <c r="Q69" i="3"/>
  <c r="R69" i="3"/>
  <c r="S69" i="3"/>
  <c r="T69" i="3"/>
  <c r="O70" i="3"/>
  <c r="P70" i="3"/>
  <c r="Q70" i="3"/>
  <c r="R70" i="3"/>
  <c r="S70" i="3"/>
  <c r="T70" i="3"/>
  <c r="O71" i="3"/>
  <c r="P71" i="3"/>
  <c r="Q71" i="3"/>
  <c r="R71" i="3"/>
  <c r="S71" i="3"/>
  <c r="T71" i="3"/>
  <c r="O72" i="3"/>
  <c r="P72" i="3"/>
  <c r="Q72" i="3"/>
  <c r="R72" i="3"/>
  <c r="S72" i="3"/>
  <c r="T72" i="3"/>
  <c r="O73" i="3"/>
  <c r="P73" i="3"/>
  <c r="Q73" i="3"/>
  <c r="R73" i="3"/>
  <c r="S73" i="3"/>
  <c r="T73" i="3"/>
  <c r="O74" i="3"/>
  <c r="P74" i="3"/>
  <c r="Q74" i="3"/>
  <c r="R74" i="3"/>
  <c r="S74" i="3"/>
  <c r="T74" i="3"/>
  <c r="O75" i="3"/>
  <c r="P75" i="3"/>
  <c r="Q75" i="3"/>
  <c r="R75" i="3"/>
  <c r="S75" i="3"/>
  <c r="T75" i="3"/>
  <c r="O76" i="3"/>
  <c r="P76" i="3"/>
  <c r="Q76" i="3"/>
  <c r="R76" i="3"/>
  <c r="S76" i="3"/>
  <c r="T76" i="3"/>
  <c r="O77" i="3"/>
  <c r="P77" i="3"/>
  <c r="Q77" i="3"/>
  <c r="R77" i="3"/>
  <c r="S77" i="3"/>
  <c r="T77" i="3"/>
  <c r="O78" i="3"/>
  <c r="P78" i="3"/>
  <c r="Q78" i="3"/>
  <c r="R78" i="3"/>
  <c r="S78" i="3"/>
  <c r="T78" i="3"/>
  <c r="O79" i="3"/>
  <c r="P79" i="3"/>
  <c r="Q79" i="3"/>
  <c r="R79" i="3"/>
  <c r="S79" i="3"/>
  <c r="T79" i="3"/>
  <c r="O80" i="3"/>
  <c r="P80" i="3"/>
  <c r="Q80" i="3"/>
  <c r="R80" i="3"/>
  <c r="S80" i="3"/>
  <c r="T80" i="3"/>
  <c r="O81" i="3"/>
  <c r="P81" i="3"/>
  <c r="Q81" i="3"/>
  <c r="R81" i="3"/>
  <c r="S81" i="3"/>
  <c r="T81" i="3"/>
  <c r="O82" i="3"/>
  <c r="P82" i="3"/>
  <c r="Q82" i="3"/>
  <c r="R82" i="3"/>
  <c r="S82" i="3"/>
  <c r="T82" i="3"/>
  <c r="O83" i="3"/>
  <c r="P83" i="3"/>
  <c r="Q83" i="3"/>
  <c r="R83" i="3"/>
  <c r="S83" i="3"/>
  <c r="T83" i="3"/>
  <c r="O84" i="3"/>
  <c r="P84" i="3"/>
  <c r="Q84" i="3"/>
  <c r="R84" i="3"/>
  <c r="S84" i="3"/>
  <c r="T84" i="3"/>
  <c r="O85" i="3"/>
  <c r="P85" i="3"/>
  <c r="Q85" i="3"/>
  <c r="R85" i="3"/>
  <c r="S85" i="3"/>
  <c r="T85" i="3"/>
  <c r="O86" i="3"/>
  <c r="P86" i="3"/>
  <c r="Q86" i="3"/>
  <c r="R86" i="3"/>
  <c r="S86" i="3"/>
  <c r="T86" i="3"/>
  <c r="O87" i="3"/>
  <c r="P87" i="3"/>
  <c r="Q87" i="3"/>
  <c r="R87" i="3"/>
  <c r="S87" i="3"/>
  <c r="T87" i="3"/>
  <c r="O88" i="3"/>
  <c r="P88" i="3"/>
  <c r="Q88" i="3"/>
  <c r="R88" i="3"/>
  <c r="S88" i="3"/>
  <c r="T88" i="3"/>
  <c r="O89" i="3"/>
  <c r="P89" i="3"/>
  <c r="Q89" i="3"/>
  <c r="R89" i="3"/>
  <c r="S89" i="3"/>
  <c r="T89" i="3"/>
  <c r="O90" i="3"/>
  <c r="P90" i="3"/>
  <c r="Q90" i="3"/>
  <c r="R90" i="3"/>
  <c r="S90" i="3"/>
  <c r="T90" i="3"/>
  <c r="O91" i="3"/>
  <c r="P91" i="3"/>
  <c r="Q91" i="3"/>
  <c r="R91" i="3"/>
  <c r="S91" i="3"/>
  <c r="T91" i="3"/>
  <c r="O92" i="3"/>
  <c r="P92" i="3"/>
  <c r="Q92" i="3"/>
  <c r="R92" i="3"/>
  <c r="S92" i="3"/>
  <c r="T92" i="3"/>
  <c r="O93" i="3"/>
  <c r="P93" i="3"/>
  <c r="Q93" i="3"/>
  <c r="R93" i="3"/>
  <c r="S93" i="3"/>
  <c r="T93" i="3"/>
  <c r="O94" i="3"/>
  <c r="P94" i="3"/>
  <c r="Q94" i="3"/>
  <c r="R94" i="3"/>
  <c r="S94" i="3"/>
  <c r="T94" i="3"/>
  <c r="O95" i="3"/>
  <c r="P95" i="3"/>
  <c r="Q95" i="3"/>
  <c r="R95" i="3"/>
  <c r="S95" i="3"/>
  <c r="T95" i="3"/>
  <c r="O96" i="3"/>
  <c r="P96" i="3"/>
  <c r="Q96" i="3"/>
  <c r="R96" i="3"/>
  <c r="S96" i="3"/>
  <c r="T96" i="3"/>
  <c r="O97" i="3"/>
  <c r="P97" i="3"/>
  <c r="Q97" i="3"/>
  <c r="R97" i="3"/>
  <c r="S97" i="3"/>
  <c r="T97" i="3"/>
  <c r="O98" i="3"/>
  <c r="P98" i="3"/>
  <c r="Q98" i="3"/>
  <c r="R98" i="3"/>
  <c r="S98" i="3"/>
  <c r="T98" i="3"/>
  <c r="O99" i="3"/>
  <c r="P99" i="3"/>
  <c r="Q99" i="3"/>
  <c r="R99" i="3"/>
  <c r="S99" i="3"/>
  <c r="T99" i="3"/>
  <c r="O100" i="3"/>
  <c r="P100" i="3"/>
  <c r="Q100" i="3"/>
  <c r="R100" i="3"/>
  <c r="S100" i="3"/>
  <c r="T100" i="3"/>
  <c r="O101" i="3"/>
  <c r="P101" i="3"/>
  <c r="Q101" i="3"/>
  <c r="R101" i="3"/>
  <c r="S101" i="3"/>
  <c r="T101" i="3"/>
  <c r="O102" i="3"/>
  <c r="P102" i="3"/>
  <c r="Q102" i="3"/>
  <c r="R102" i="3"/>
  <c r="S102" i="3"/>
  <c r="T102" i="3"/>
  <c r="O103" i="3"/>
  <c r="P103" i="3"/>
  <c r="Q103" i="3"/>
  <c r="R103" i="3"/>
  <c r="S103" i="3"/>
  <c r="T103" i="3"/>
  <c r="O104" i="3"/>
  <c r="P104" i="3"/>
  <c r="Q104" i="3"/>
  <c r="R104" i="3"/>
  <c r="S104" i="3"/>
  <c r="T104" i="3"/>
  <c r="O105" i="3"/>
  <c r="P105" i="3"/>
  <c r="Q105" i="3"/>
  <c r="R105" i="3"/>
  <c r="S105" i="3"/>
  <c r="T105" i="3"/>
  <c r="O106" i="3"/>
  <c r="P106" i="3"/>
  <c r="Q106" i="3"/>
  <c r="R106" i="3"/>
  <c r="S106" i="3"/>
  <c r="T106" i="3"/>
  <c r="O107" i="3"/>
  <c r="P107" i="3"/>
  <c r="Q107" i="3"/>
  <c r="R107" i="3"/>
  <c r="S107" i="3"/>
  <c r="T107" i="3"/>
  <c r="O108" i="3"/>
  <c r="P108" i="3"/>
  <c r="Q108" i="3"/>
  <c r="R108" i="3"/>
  <c r="S108" i="3"/>
  <c r="T108" i="3"/>
  <c r="O109" i="3"/>
  <c r="P109" i="3"/>
  <c r="Q109" i="3"/>
  <c r="R109" i="3"/>
  <c r="S109" i="3"/>
  <c r="T109" i="3"/>
  <c r="O110" i="3"/>
  <c r="P110" i="3"/>
  <c r="Q110" i="3"/>
  <c r="R110" i="3"/>
  <c r="S110" i="3"/>
  <c r="T110" i="3"/>
  <c r="O111" i="3"/>
  <c r="P111" i="3"/>
  <c r="Q111" i="3"/>
  <c r="R111" i="3"/>
  <c r="S111" i="3"/>
  <c r="T111" i="3"/>
  <c r="O112" i="3"/>
  <c r="P112" i="3"/>
  <c r="Q112" i="3"/>
  <c r="R112" i="3"/>
  <c r="S112" i="3"/>
  <c r="T112" i="3"/>
  <c r="O113" i="3"/>
  <c r="P113" i="3"/>
  <c r="Q113" i="3"/>
  <c r="R113" i="3"/>
  <c r="S113" i="3"/>
  <c r="T113" i="3"/>
  <c r="O114" i="3"/>
  <c r="P114" i="3"/>
  <c r="Q114" i="3"/>
  <c r="R114" i="3"/>
  <c r="S114" i="3"/>
  <c r="T114" i="3"/>
  <c r="O115" i="3"/>
  <c r="P115" i="3"/>
  <c r="Q115" i="3"/>
  <c r="R115" i="3"/>
  <c r="S115" i="3"/>
  <c r="T115" i="3"/>
  <c r="O116" i="3"/>
  <c r="P116" i="3"/>
  <c r="Q116" i="3"/>
  <c r="R116" i="3"/>
  <c r="S116" i="3"/>
  <c r="T116" i="3"/>
  <c r="O117" i="3"/>
  <c r="P117" i="3"/>
  <c r="Q117" i="3"/>
  <c r="R117" i="3"/>
  <c r="S117" i="3"/>
  <c r="T117" i="3"/>
  <c r="O118" i="3"/>
  <c r="P118" i="3"/>
  <c r="Q118" i="3"/>
  <c r="R118" i="3"/>
  <c r="S118" i="3"/>
  <c r="T118" i="3"/>
  <c r="O119" i="3"/>
  <c r="P119" i="3"/>
  <c r="Q119" i="3"/>
  <c r="R119" i="3"/>
  <c r="S119" i="3"/>
  <c r="T119" i="3"/>
  <c r="O120" i="3"/>
  <c r="P120" i="3"/>
  <c r="Q120" i="3"/>
  <c r="R120" i="3"/>
  <c r="S120" i="3"/>
  <c r="T120" i="3"/>
  <c r="O121" i="3"/>
  <c r="P121" i="3"/>
  <c r="Q121" i="3"/>
  <c r="R121" i="3"/>
  <c r="S121" i="3"/>
  <c r="T121" i="3"/>
  <c r="O122" i="3"/>
  <c r="P122" i="3"/>
  <c r="Q122" i="3"/>
  <c r="R122" i="3"/>
  <c r="S122" i="3"/>
  <c r="T122" i="3"/>
  <c r="O123" i="3"/>
  <c r="P123" i="3"/>
  <c r="Q123" i="3"/>
  <c r="R123" i="3"/>
  <c r="S123" i="3"/>
  <c r="T123" i="3"/>
  <c r="O124" i="3"/>
  <c r="P124" i="3"/>
  <c r="Q124" i="3"/>
  <c r="R124" i="3"/>
  <c r="S124" i="3"/>
  <c r="T124" i="3"/>
  <c r="O125" i="3"/>
  <c r="P125" i="3"/>
  <c r="Q125" i="3"/>
  <c r="R125" i="3"/>
  <c r="S125" i="3"/>
  <c r="T125" i="3"/>
  <c r="O126" i="3"/>
  <c r="P126" i="3"/>
  <c r="Q126" i="3"/>
  <c r="R126" i="3"/>
  <c r="S126" i="3"/>
  <c r="T126" i="3"/>
  <c r="O127" i="3"/>
  <c r="P127" i="3"/>
  <c r="Q127" i="3"/>
  <c r="R127" i="3"/>
  <c r="S127" i="3"/>
  <c r="T127" i="3"/>
  <c r="O128" i="3"/>
  <c r="P128" i="3"/>
  <c r="Q128" i="3"/>
  <c r="R128" i="3"/>
  <c r="S128" i="3"/>
  <c r="T128" i="3"/>
  <c r="O129" i="3"/>
  <c r="P129" i="3"/>
  <c r="Q129" i="3"/>
  <c r="R129" i="3"/>
  <c r="S129" i="3"/>
  <c r="T129" i="3"/>
  <c r="O130" i="3"/>
  <c r="P130" i="3"/>
  <c r="Q130" i="3"/>
  <c r="R130" i="3"/>
  <c r="S130" i="3"/>
  <c r="T130" i="3"/>
  <c r="O131" i="3"/>
  <c r="P131" i="3"/>
  <c r="Q131" i="3"/>
  <c r="R131" i="3"/>
  <c r="S131" i="3"/>
  <c r="T131" i="3"/>
  <c r="O132" i="3"/>
  <c r="P132" i="3"/>
  <c r="Q132" i="3"/>
  <c r="R132" i="3"/>
  <c r="S132" i="3"/>
  <c r="T132" i="3"/>
  <c r="O133" i="3"/>
  <c r="P133" i="3"/>
  <c r="Q133" i="3"/>
  <c r="R133" i="3"/>
  <c r="S133" i="3"/>
  <c r="T133" i="3"/>
  <c r="O134" i="3"/>
  <c r="P134" i="3"/>
  <c r="Q134" i="3"/>
  <c r="R134" i="3"/>
  <c r="S134" i="3"/>
  <c r="T134" i="3"/>
  <c r="O135" i="3"/>
  <c r="P135" i="3"/>
  <c r="Q135" i="3"/>
  <c r="R135" i="3"/>
  <c r="S135" i="3"/>
  <c r="T135" i="3"/>
  <c r="O136" i="3"/>
  <c r="P136" i="3"/>
  <c r="Q136" i="3"/>
  <c r="R136" i="3"/>
  <c r="S136" i="3"/>
  <c r="T136" i="3"/>
  <c r="O137" i="3"/>
  <c r="P137" i="3"/>
  <c r="Q137" i="3"/>
  <c r="R137" i="3"/>
  <c r="S137" i="3"/>
  <c r="T137" i="3"/>
  <c r="O138" i="3"/>
  <c r="P138" i="3"/>
  <c r="Q138" i="3"/>
  <c r="R138" i="3"/>
  <c r="S138" i="3"/>
  <c r="T138" i="3"/>
  <c r="O139" i="3"/>
  <c r="P139" i="3"/>
  <c r="Q139" i="3"/>
  <c r="R139" i="3"/>
  <c r="S139" i="3"/>
  <c r="T139" i="3"/>
  <c r="O140" i="3"/>
  <c r="P140" i="3"/>
  <c r="Q140" i="3"/>
  <c r="R140" i="3"/>
  <c r="S140" i="3"/>
  <c r="T140" i="3"/>
  <c r="O141" i="3"/>
  <c r="P141" i="3"/>
  <c r="Q141" i="3"/>
  <c r="R141" i="3"/>
  <c r="S141" i="3"/>
  <c r="T141" i="3"/>
  <c r="O142" i="3"/>
  <c r="P142" i="3"/>
  <c r="Q142" i="3"/>
  <c r="R142" i="3"/>
  <c r="S142" i="3"/>
  <c r="T142" i="3"/>
  <c r="O143" i="3"/>
  <c r="P143" i="3"/>
  <c r="Q143" i="3"/>
  <c r="R143" i="3"/>
  <c r="S143" i="3"/>
  <c r="T143" i="3"/>
  <c r="O144" i="3"/>
  <c r="P144" i="3"/>
  <c r="Q144" i="3"/>
  <c r="R144" i="3"/>
  <c r="S144" i="3"/>
  <c r="T144" i="3"/>
  <c r="O145" i="3"/>
  <c r="P145" i="3"/>
  <c r="Q145" i="3"/>
  <c r="R145" i="3"/>
  <c r="S145" i="3"/>
  <c r="T145" i="3"/>
  <c r="O146" i="3"/>
  <c r="P146" i="3"/>
  <c r="Q146" i="3"/>
  <c r="R146" i="3"/>
  <c r="S146" i="3"/>
  <c r="T146" i="3"/>
  <c r="O147" i="3"/>
  <c r="P147" i="3"/>
  <c r="Q147" i="3"/>
  <c r="R147" i="3"/>
  <c r="S147" i="3"/>
  <c r="T147" i="3"/>
  <c r="O148" i="3"/>
  <c r="P148" i="3"/>
  <c r="Q148" i="3"/>
  <c r="R148" i="3"/>
  <c r="S148" i="3"/>
  <c r="T148" i="3"/>
  <c r="O149" i="3"/>
  <c r="P149" i="3"/>
  <c r="Q149" i="3"/>
  <c r="R149" i="3"/>
  <c r="S149" i="3"/>
  <c r="T149" i="3"/>
  <c r="O150" i="3"/>
  <c r="P150" i="3"/>
  <c r="Q150" i="3"/>
  <c r="R150" i="3"/>
  <c r="S150" i="3"/>
  <c r="T150" i="3"/>
  <c r="O151" i="3"/>
  <c r="P151" i="3"/>
  <c r="Q151" i="3"/>
  <c r="R151" i="3"/>
  <c r="S151" i="3"/>
  <c r="T151" i="3"/>
  <c r="O152" i="3"/>
  <c r="P152" i="3"/>
  <c r="Q152" i="3"/>
  <c r="R152" i="3"/>
  <c r="S152" i="3"/>
  <c r="T152" i="3"/>
  <c r="O153" i="3"/>
  <c r="P153" i="3"/>
  <c r="Q153" i="3"/>
  <c r="R153" i="3"/>
  <c r="S153" i="3"/>
  <c r="T153" i="3"/>
  <c r="O154" i="3"/>
  <c r="P154" i="3"/>
  <c r="Q154" i="3"/>
  <c r="R154" i="3"/>
  <c r="S154" i="3"/>
  <c r="T154" i="3"/>
  <c r="O155" i="3"/>
  <c r="P155" i="3"/>
  <c r="Q155" i="3"/>
  <c r="R155" i="3"/>
  <c r="S155" i="3"/>
  <c r="T155" i="3"/>
  <c r="O156" i="3"/>
  <c r="P156" i="3"/>
  <c r="Q156" i="3"/>
  <c r="R156" i="3"/>
  <c r="S156" i="3"/>
  <c r="T156" i="3"/>
  <c r="O157" i="3"/>
  <c r="P157" i="3"/>
  <c r="Q157" i="3"/>
  <c r="R157" i="3"/>
  <c r="S157" i="3"/>
  <c r="T157" i="3"/>
  <c r="O158" i="3"/>
  <c r="P158" i="3"/>
  <c r="Q158" i="3"/>
  <c r="R158" i="3"/>
  <c r="S158" i="3"/>
  <c r="T158" i="3"/>
  <c r="O159" i="3"/>
  <c r="P159" i="3"/>
  <c r="Q159" i="3"/>
  <c r="R159" i="3"/>
  <c r="S159" i="3"/>
  <c r="T159" i="3"/>
  <c r="O160" i="3"/>
  <c r="P160" i="3"/>
  <c r="Q160" i="3"/>
  <c r="R160" i="3"/>
  <c r="S160" i="3"/>
  <c r="T160" i="3"/>
  <c r="O161" i="3"/>
  <c r="P161" i="3"/>
  <c r="Q161" i="3"/>
  <c r="R161" i="3"/>
  <c r="S161" i="3"/>
  <c r="T161" i="3"/>
  <c r="O162" i="3"/>
  <c r="P162" i="3"/>
  <c r="Q162" i="3"/>
  <c r="R162" i="3"/>
  <c r="S162" i="3"/>
  <c r="T162" i="3"/>
  <c r="O163" i="3"/>
  <c r="P163" i="3"/>
  <c r="Q163" i="3"/>
  <c r="R163" i="3"/>
  <c r="S163" i="3"/>
  <c r="T163" i="3"/>
  <c r="O164" i="3"/>
  <c r="P164" i="3"/>
  <c r="Q164" i="3"/>
  <c r="R164" i="3"/>
  <c r="S164" i="3"/>
  <c r="T164" i="3"/>
  <c r="O165" i="3"/>
  <c r="P165" i="3"/>
  <c r="Q165" i="3"/>
  <c r="R165" i="3"/>
  <c r="S165" i="3"/>
  <c r="T165" i="3"/>
  <c r="O166" i="3"/>
  <c r="P166" i="3"/>
  <c r="Q166" i="3"/>
  <c r="R166" i="3"/>
  <c r="S166" i="3"/>
  <c r="T166" i="3"/>
  <c r="O167" i="3"/>
  <c r="P167" i="3"/>
  <c r="Q167" i="3"/>
  <c r="R167" i="3"/>
  <c r="S167" i="3"/>
  <c r="T167" i="3"/>
  <c r="O168" i="3"/>
  <c r="P168" i="3"/>
  <c r="Q168" i="3"/>
  <c r="R168" i="3"/>
  <c r="S168" i="3"/>
  <c r="T168" i="3"/>
  <c r="O169" i="3"/>
  <c r="P169" i="3"/>
  <c r="Q169" i="3"/>
  <c r="R169" i="3"/>
  <c r="S169" i="3"/>
  <c r="T169" i="3"/>
  <c r="O170" i="3"/>
  <c r="P170" i="3"/>
  <c r="Q170" i="3"/>
  <c r="R170" i="3"/>
  <c r="S170" i="3"/>
  <c r="T170" i="3"/>
  <c r="O171" i="3"/>
  <c r="P171" i="3"/>
  <c r="Q171" i="3"/>
  <c r="R171" i="3"/>
  <c r="S171" i="3"/>
  <c r="T171" i="3"/>
  <c r="O172" i="3"/>
  <c r="P172" i="3"/>
  <c r="Q172" i="3"/>
  <c r="R172" i="3"/>
  <c r="S172" i="3"/>
  <c r="T172" i="3"/>
  <c r="O173" i="3"/>
  <c r="P173" i="3"/>
  <c r="Q173" i="3"/>
  <c r="R173" i="3"/>
  <c r="S173" i="3"/>
  <c r="T173" i="3"/>
  <c r="O174" i="3"/>
  <c r="P174" i="3"/>
  <c r="Q174" i="3"/>
  <c r="R174" i="3"/>
  <c r="S174" i="3"/>
  <c r="T174" i="3"/>
  <c r="O175" i="3"/>
  <c r="P175" i="3"/>
  <c r="Q175" i="3"/>
  <c r="R175" i="3"/>
  <c r="S175" i="3"/>
  <c r="T175" i="3"/>
  <c r="O176" i="3"/>
  <c r="P176" i="3"/>
  <c r="Q176" i="3"/>
  <c r="R176" i="3"/>
  <c r="S176" i="3"/>
  <c r="T176" i="3"/>
  <c r="O177" i="3"/>
  <c r="P177" i="3"/>
  <c r="Q177" i="3"/>
  <c r="R177" i="3"/>
  <c r="S177" i="3"/>
  <c r="T177" i="3"/>
  <c r="O178" i="3"/>
  <c r="P178" i="3"/>
  <c r="Q178" i="3"/>
  <c r="R178" i="3"/>
  <c r="S178" i="3"/>
  <c r="T178" i="3"/>
  <c r="O179" i="3"/>
  <c r="P179" i="3"/>
  <c r="Q179" i="3"/>
  <c r="R179" i="3"/>
  <c r="S179" i="3"/>
  <c r="T179" i="3"/>
  <c r="O180" i="3"/>
  <c r="P180" i="3"/>
  <c r="Q180" i="3"/>
  <c r="R180" i="3"/>
  <c r="S180" i="3"/>
  <c r="T180" i="3"/>
  <c r="O181" i="3"/>
  <c r="P181" i="3"/>
  <c r="Q181" i="3"/>
  <c r="R181" i="3"/>
  <c r="S181" i="3"/>
  <c r="T181" i="3"/>
  <c r="O182" i="3"/>
  <c r="P182" i="3"/>
  <c r="Q182" i="3"/>
  <c r="R182" i="3"/>
  <c r="S182" i="3"/>
  <c r="T182" i="3"/>
  <c r="O183" i="3"/>
  <c r="P183" i="3"/>
  <c r="Q183" i="3"/>
  <c r="R183" i="3"/>
  <c r="S183" i="3"/>
  <c r="T183" i="3"/>
  <c r="O184" i="3"/>
  <c r="P184" i="3"/>
  <c r="Q184" i="3"/>
  <c r="R184" i="3"/>
  <c r="S184" i="3"/>
  <c r="T184" i="3"/>
  <c r="O185" i="3"/>
  <c r="P185" i="3"/>
  <c r="Q185" i="3"/>
  <c r="R185" i="3"/>
  <c r="S185" i="3"/>
  <c r="T185" i="3"/>
  <c r="O186" i="3"/>
  <c r="P186" i="3"/>
  <c r="Q186" i="3"/>
  <c r="R186" i="3"/>
  <c r="S186" i="3"/>
  <c r="T186" i="3"/>
  <c r="O187" i="3"/>
  <c r="P187" i="3"/>
  <c r="Q187" i="3"/>
  <c r="R187" i="3"/>
  <c r="S187" i="3"/>
  <c r="T187" i="3"/>
  <c r="O188" i="3"/>
  <c r="P188" i="3"/>
  <c r="Q188" i="3"/>
  <c r="R188" i="3"/>
  <c r="S188" i="3"/>
  <c r="T188" i="3"/>
  <c r="O189" i="3"/>
  <c r="P189" i="3"/>
  <c r="Q189" i="3"/>
  <c r="R189" i="3"/>
  <c r="S189" i="3"/>
  <c r="T189" i="3"/>
  <c r="O190" i="3"/>
  <c r="P190" i="3"/>
  <c r="Q190" i="3"/>
  <c r="R190" i="3"/>
  <c r="S190" i="3"/>
  <c r="T190" i="3"/>
  <c r="O191" i="3"/>
  <c r="P191" i="3"/>
  <c r="Q191" i="3"/>
  <c r="R191" i="3"/>
  <c r="S191" i="3"/>
  <c r="T191" i="3"/>
  <c r="O192" i="3"/>
  <c r="P192" i="3"/>
  <c r="Q192" i="3"/>
  <c r="R192" i="3"/>
  <c r="S192" i="3"/>
  <c r="T192" i="3"/>
  <c r="O193" i="3"/>
  <c r="P193" i="3"/>
  <c r="Q193" i="3"/>
  <c r="R193" i="3"/>
  <c r="S193" i="3"/>
  <c r="T193" i="3"/>
  <c r="O194" i="3"/>
  <c r="P194" i="3"/>
  <c r="Q194" i="3"/>
  <c r="R194" i="3"/>
  <c r="S194" i="3"/>
  <c r="T194" i="3"/>
  <c r="O195" i="3"/>
  <c r="P195" i="3"/>
  <c r="Q195" i="3"/>
  <c r="R195" i="3"/>
  <c r="S195" i="3"/>
  <c r="T195" i="3"/>
  <c r="O196" i="3"/>
  <c r="P196" i="3"/>
  <c r="Q196" i="3"/>
  <c r="R196" i="3"/>
  <c r="S196" i="3"/>
  <c r="T196" i="3"/>
  <c r="O197" i="3"/>
  <c r="P197" i="3"/>
  <c r="Q197" i="3"/>
  <c r="R197" i="3"/>
  <c r="S197" i="3"/>
  <c r="T197" i="3"/>
  <c r="O198" i="3"/>
  <c r="P198" i="3"/>
  <c r="Q198" i="3"/>
  <c r="R198" i="3"/>
  <c r="S198" i="3"/>
  <c r="T198" i="3"/>
  <c r="O199" i="3"/>
  <c r="P199" i="3"/>
  <c r="Q199" i="3"/>
  <c r="R199" i="3"/>
  <c r="S199" i="3"/>
  <c r="T199" i="3"/>
  <c r="O200" i="3"/>
  <c r="P200" i="3"/>
  <c r="Q200" i="3"/>
  <c r="R200" i="3"/>
  <c r="S200" i="3"/>
  <c r="T200" i="3"/>
  <c r="O201" i="3"/>
  <c r="P201" i="3"/>
  <c r="Q201" i="3"/>
  <c r="R201" i="3"/>
  <c r="S201" i="3"/>
  <c r="T201" i="3"/>
  <c r="O202" i="3"/>
  <c r="P202" i="3"/>
  <c r="Q202" i="3"/>
  <c r="R202" i="3"/>
  <c r="S202" i="3"/>
  <c r="T202" i="3"/>
  <c r="O203" i="3"/>
  <c r="P203" i="3"/>
  <c r="Q203" i="3"/>
  <c r="R203" i="3"/>
  <c r="S203" i="3"/>
  <c r="T203" i="3"/>
  <c r="O204" i="3"/>
  <c r="P204" i="3"/>
  <c r="Q204" i="3"/>
  <c r="R204" i="3"/>
  <c r="S204" i="3"/>
  <c r="T204" i="3"/>
  <c r="O205" i="3"/>
  <c r="P205" i="3"/>
  <c r="Q205" i="3"/>
  <c r="R205" i="3"/>
  <c r="S205" i="3"/>
  <c r="T205" i="3"/>
  <c r="O206" i="3"/>
  <c r="P206" i="3"/>
  <c r="Q206" i="3"/>
  <c r="R206" i="3"/>
  <c r="S206" i="3"/>
  <c r="T206" i="3"/>
  <c r="O207" i="3"/>
  <c r="P207" i="3"/>
  <c r="Q207" i="3"/>
  <c r="R207" i="3"/>
  <c r="S207" i="3"/>
  <c r="T207" i="3"/>
  <c r="O208" i="3"/>
  <c r="P208" i="3"/>
  <c r="Q208" i="3"/>
  <c r="R208" i="3"/>
  <c r="S208" i="3"/>
  <c r="T208" i="3"/>
  <c r="O209" i="3"/>
  <c r="P209" i="3"/>
  <c r="Q209" i="3"/>
  <c r="R209" i="3"/>
  <c r="S209" i="3"/>
  <c r="T209" i="3"/>
  <c r="O210" i="3"/>
  <c r="P210" i="3"/>
  <c r="Q210" i="3"/>
  <c r="R210" i="3"/>
  <c r="S210" i="3"/>
  <c r="T210" i="3"/>
  <c r="O211" i="3"/>
  <c r="P211" i="3"/>
  <c r="Q211" i="3"/>
  <c r="R211" i="3"/>
  <c r="S211" i="3"/>
  <c r="T211" i="3"/>
  <c r="O212" i="3"/>
  <c r="P212" i="3"/>
  <c r="Q212" i="3"/>
  <c r="R212" i="3"/>
  <c r="S212" i="3"/>
  <c r="T212" i="3"/>
  <c r="O213" i="3"/>
  <c r="P213" i="3"/>
  <c r="Q213" i="3"/>
  <c r="R213" i="3"/>
  <c r="S213" i="3"/>
  <c r="T213" i="3"/>
  <c r="O214" i="3"/>
  <c r="P214" i="3"/>
  <c r="Q214" i="3"/>
  <c r="R214" i="3"/>
  <c r="S214" i="3"/>
  <c r="T214" i="3"/>
  <c r="O215" i="3"/>
  <c r="P215" i="3"/>
  <c r="Q215" i="3"/>
  <c r="R215" i="3"/>
  <c r="S215" i="3"/>
  <c r="T215" i="3"/>
  <c r="O216" i="3"/>
  <c r="P216" i="3"/>
  <c r="Q216" i="3"/>
  <c r="R216" i="3"/>
  <c r="S216" i="3"/>
  <c r="T216" i="3"/>
  <c r="O217" i="3"/>
  <c r="P217" i="3"/>
  <c r="Q217" i="3"/>
  <c r="R217" i="3"/>
  <c r="S217" i="3"/>
  <c r="T217" i="3"/>
  <c r="O218" i="3"/>
  <c r="P218" i="3"/>
  <c r="Q218" i="3"/>
  <c r="R218" i="3"/>
  <c r="S218" i="3"/>
  <c r="T218" i="3"/>
  <c r="O219" i="3"/>
  <c r="P219" i="3"/>
  <c r="Q219" i="3"/>
  <c r="R219" i="3"/>
  <c r="S219" i="3"/>
  <c r="T219" i="3"/>
  <c r="O220" i="3"/>
  <c r="P220" i="3"/>
  <c r="Q220" i="3"/>
  <c r="R220" i="3"/>
  <c r="S220" i="3"/>
  <c r="T220" i="3"/>
  <c r="O221" i="3"/>
  <c r="P221" i="3"/>
  <c r="Q221" i="3"/>
  <c r="R221" i="3"/>
  <c r="S221" i="3"/>
  <c r="T221" i="3"/>
  <c r="O222" i="3"/>
  <c r="P222" i="3"/>
  <c r="Q222" i="3"/>
  <c r="R222" i="3"/>
  <c r="S222" i="3"/>
  <c r="T222" i="3"/>
  <c r="O223" i="3"/>
  <c r="P223" i="3"/>
  <c r="Q223" i="3"/>
  <c r="R223" i="3"/>
  <c r="S223" i="3"/>
  <c r="T223" i="3"/>
  <c r="O224" i="3"/>
  <c r="P224" i="3"/>
  <c r="Q224" i="3"/>
  <c r="R224" i="3"/>
  <c r="S224" i="3"/>
  <c r="T224" i="3"/>
  <c r="O225" i="3"/>
  <c r="P225" i="3"/>
  <c r="Q225" i="3"/>
  <c r="R225" i="3"/>
  <c r="S225" i="3"/>
  <c r="T225" i="3"/>
  <c r="O226" i="3"/>
  <c r="P226" i="3"/>
  <c r="Q226" i="3"/>
  <c r="R226" i="3"/>
  <c r="S226" i="3"/>
  <c r="T226" i="3"/>
  <c r="O227" i="3"/>
  <c r="P227" i="3"/>
  <c r="Q227" i="3"/>
  <c r="R227" i="3"/>
  <c r="S227" i="3"/>
  <c r="T227" i="3"/>
  <c r="O228" i="3"/>
  <c r="P228" i="3"/>
  <c r="Q228" i="3"/>
  <c r="R228" i="3"/>
  <c r="S228" i="3"/>
  <c r="T228" i="3"/>
  <c r="O229" i="3"/>
  <c r="P229" i="3"/>
  <c r="Q229" i="3"/>
  <c r="R229" i="3"/>
  <c r="S229" i="3"/>
  <c r="T229" i="3"/>
  <c r="O230" i="3"/>
  <c r="P230" i="3"/>
  <c r="Q230" i="3"/>
  <c r="R230" i="3"/>
  <c r="S230" i="3"/>
  <c r="T230" i="3"/>
  <c r="O231" i="3"/>
  <c r="P231" i="3"/>
  <c r="Q231" i="3"/>
  <c r="R231" i="3"/>
  <c r="S231" i="3"/>
  <c r="T231" i="3"/>
  <c r="O232" i="3"/>
  <c r="P232" i="3"/>
  <c r="Q232" i="3"/>
  <c r="R232" i="3"/>
  <c r="S232" i="3"/>
  <c r="T232" i="3"/>
  <c r="O233" i="3"/>
  <c r="P233" i="3"/>
  <c r="Q233" i="3"/>
  <c r="R233" i="3"/>
  <c r="S233" i="3"/>
  <c r="T233" i="3"/>
  <c r="O234" i="3"/>
  <c r="P234" i="3"/>
  <c r="Q234" i="3"/>
  <c r="R234" i="3"/>
  <c r="S234" i="3"/>
  <c r="T234" i="3"/>
  <c r="O235" i="3"/>
  <c r="P235" i="3"/>
  <c r="Q235" i="3"/>
  <c r="R235" i="3"/>
  <c r="S235" i="3"/>
  <c r="T235" i="3"/>
  <c r="O236" i="3"/>
  <c r="P236" i="3"/>
  <c r="Q236" i="3"/>
  <c r="R236" i="3"/>
  <c r="S236" i="3"/>
  <c r="T236" i="3"/>
  <c r="O237" i="3"/>
  <c r="P237" i="3"/>
  <c r="Q237" i="3"/>
  <c r="R237" i="3"/>
  <c r="S237" i="3"/>
  <c r="T237" i="3"/>
  <c r="O238" i="3"/>
  <c r="P238" i="3"/>
  <c r="Q238" i="3"/>
  <c r="R238" i="3"/>
  <c r="S238" i="3"/>
  <c r="T238" i="3"/>
  <c r="O239" i="3"/>
  <c r="P239" i="3"/>
  <c r="Q239" i="3"/>
  <c r="R239" i="3"/>
  <c r="S239" i="3"/>
  <c r="T239" i="3"/>
  <c r="O240" i="3"/>
  <c r="P240" i="3"/>
  <c r="Q240" i="3"/>
  <c r="R240" i="3"/>
  <c r="S240" i="3"/>
  <c r="T240" i="3"/>
  <c r="O241" i="3"/>
  <c r="P241" i="3"/>
  <c r="Q241" i="3"/>
  <c r="R241" i="3"/>
  <c r="S241" i="3"/>
  <c r="T241" i="3"/>
  <c r="O242" i="3"/>
  <c r="P242" i="3"/>
  <c r="Q242" i="3"/>
  <c r="R242" i="3"/>
  <c r="S242" i="3"/>
  <c r="T242" i="3"/>
  <c r="O243" i="3"/>
  <c r="P243" i="3"/>
  <c r="Q243" i="3"/>
  <c r="R243" i="3"/>
  <c r="S243" i="3"/>
  <c r="T243" i="3"/>
  <c r="O244" i="3"/>
  <c r="P244" i="3"/>
  <c r="Q244" i="3"/>
  <c r="R244" i="3"/>
  <c r="S244" i="3"/>
  <c r="T244" i="3"/>
  <c r="O245" i="3"/>
  <c r="P245" i="3"/>
  <c r="Q245" i="3"/>
  <c r="R245" i="3"/>
  <c r="S245" i="3"/>
  <c r="T245" i="3"/>
  <c r="O246" i="3"/>
  <c r="P246" i="3"/>
  <c r="Q246" i="3"/>
  <c r="R246" i="3"/>
  <c r="S246" i="3"/>
  <c r="T246" i="3"/>
  <c r="O247" i="3"/>
  <c r="P247" i="3"/>
  <c r="Q247" i="3"/>
  <c r="R247" i="3"/>
  <c r="S247" i="3"/>
  <c r="T247" i="3"/>
  <c r="O248" i="3"/>
  <c r="P248" i="3"/>
  <c r="Q248" i="3"/>
  <c r="R248" i="3"/>
  <c r="S248" i="3"/>
  <c r="T248" i="3"/>
  <c r="O249" i="3"/>
  <c r="P249" i="3"/>
  <c r="Q249" i="3"/>
  <c r="R249" i="3"/>
  <c r="S249" i="3"/>
  <c r="T249" i="3"/>
  <c r="O250" i="3"/>
  <c r="P250" i="3"/>
  <c r="Q250" i="3"/>
  <c r="R250" i="3"/>
  <c r="S250" i="3"/>
  <c r="T250" i="3"/>
  <c r="O251" i="3"/>
  <c r="P251" i="3"/>
  <c r="Q251" i="3"/>
  <c r="R251" i="3"/>
  <c r="S251" i="3"/>
  <c r="T251" i="3"/>
  <c r="O252" i="3"/>
  <c r="P252" i="3"/>
  <c r="Q252" i="3"/>
  <c r="R252" i="3"/>
  <c r="S252" i="3"/>
  <c r="T252" i="3"/>
  <c r="O253" i="3"/>
  <c r="P253" i="3"/>
  <c r="Q253" i="3"/>
  <c r="R253" i="3"/>
  <c r="S253" i="3"/>
  <c r="T253" i="3"/>
  <c r="O254" i="3"/>
  <c r="P254" i="3"/>
  <c r="Q254" i="3"/>
  <c r="R254" i="3"/>
  <c r="S254" i="3"/>
  <c r="T254" i="3"/>
  <c r="O255" i="3"/>
  <c r="P255" i="3"/>
  <c r="Q255" i="3"/>
  <c r="R255" i="3"/>
  <c r="S255" i="3"/>
  <c r="T255" i="3"/>
  <c r="O256" i="3"/>
  <c r="P256" i="3"/>
  <c r="Q256" i="3"/>
  <c r="R256" i="3"/>
  <c r="S256" i="3"/>
  <c r="T256" i="3"/>
  <c r="O257" i="3"/>
  <c r="P257" i="3"/>
  <c r="Q257" i="3"/>
  <c r="R257" i="3"/>
  <c r="S257" i="3"/>
  <c r="T257" i="3"/>
  <c r="O258" i="3"/>
  <c r="P258" i="3"/>
  <c r="Q258" i="3"/>
  <c r="R258" i="3"/>
  <c r="S258" i="3"/>
  <c r="T258" i="3"/>
  <c r="O259" i="3"/>
  <c r="P259" i="3"/>
  <c r="Q259" i="3"/>
  <c r="R259" i="3"/>
  <c r="S259" i="3"/>
  <c r="T259" i="3"/>
  <c r="O260" i="3"/>
  <c r="P260" i="3"/>
  <c r="Q260" i="3"/>
  <c r="R260" i="3"/>
  <c r="S260" i="3"/>
  <c r="T260" i="3"/>
  <c r="O261" i="3"/>
  <c r="P261" i="3"/>
  <c r="Q261" i="3"/>
  <c r="R261" i="3"/>
  <c r="S261" i="3"/>
  <c r="T261" i="3"/>
  <c r="O262" i="3"/>
  <c r="P262" i="3"/>
  <c r="Q262" i="3"/>
  <c r="R262" i="3"/>
  <c r="S262" i="3"/>
  <c r="T262" i="3"/>
  <c r="O263" i="3"/>
  <c r="P263" i="3"/>
  <c r="Q263" i="3"/>
  <c r="R263" i="3"/>
  <c r="S263" i="3"/>
  <c r="T263" i="3"/>
  <c r="O264" i="3"/>
  <c r="P264" i="3"/>
  <c r="Q264" i="3"/>
  <c r="R264" i="3"/>
  <c r="S264" i="3"/>
  <c r="T264" i="3"/>
  <c r="O265" i="3"/>
  <c r="P265" i="3"/>
  <c r="Q265" i="3"/>
  <c r="R265" i="3"/>
  <c r="S265" i="3"/>
  <c r="T265" i="3"/>
  <c r="O266" i="3"/>
  <c r="P266" i="3"/>
  <c r="Q266" i="3"/>
  <c r="R266" i="3"/>
  <c r="S266" i="3"/>
  <c r="T266" i="3"/>
  <c r="O267" i="3"/>
  <c r="P267" i="3"/>
  <c r="Q267" i="3"/>
  <c r="R267" i="3"/>
  <c r="S267" i="3"/>
  <c r="T267" i="3"/>
  <c r="O268" i="3"/>
  <c r="P268" i="3"/>
  <c r="Q268" i="3"/>
  <c r="R268" i="3"/>
  <c r="S268" i="3"/>
  <c r="T268" i="3"/>
  <c r="O269" i="3"/>
  <c r="P269" i="3"/>
  <c r="Q269" i="3"/>
  <c r="R269" i="3"/>
  <c r="S269" i="3"/>
  <c r="T269" i="3"/>
  <c r="O270" i="3"/>
  <c r="P270" i="3"/>
  <c r="Q270" i="3"/>
  <c r="R270" i="3"/>
  <c r="S270" i="3"/>
  <c r="T270" i="3"/>
  <c r="O271" i="3"/>
  <c r="P271" i="3"/>
  <c r="Q271" i="3"/>
  <c r="R271" i="3"/>
  <c r="S271" i="3"/>
  <c r="T271" i="3"/>
  <c r="O272" i="3"/>
  <c r="P272" i="3"/>
  <c r="Q272" i="3"/>
  <c r="R272" i="3"/>
  <c r="S272" i="3"/>
  <c r="T272" i="3"/>
  <c r="O273" i="3"/>
  <c r="P273" i="3"/>
  <c r="Q273" i="3"/>
  <c r="R273" i="3"/>
  <c r="S273" i="3"/>
  <c r="T273" i="3"/>
  <c r="O274" i="3"/>
  <c r="P274" i="3"/>
  <c r="Q274" i="3"/>
  <c r="R274" i="3"/>
  <c r="S274" i="3"/>
  <c r="T274" i="3"/>
  <c r="O275" i="3"/>
  <c r="P275" i="3"/>
  <c r="Q275" i="3"/>
  <c r="R275" i="3"/>
  <c r="S275" i="3"/>
  <c r="T275" i="3"/>
  <c r="O276" i="3"/>
  <c r="P276" i="3"/>
  <c r="Q276" i="3"/>
  <c r="R276" i="3"/>
  <c r="S276" i="3"/>
  <c r="T276" i="3"/>
  <c r="O277" i="3"/>
  <c r="P277" i="3"/>
  <c r="Q277" i="3"/>
  <c r="R277" i="3"/>
  <c r="S277" i="3"/>
  <c r="T277" i="3"/>
  <c r="O278" i="3"/>
  <c r="P278" i="3"/>
  <c r="Q278" i="3"/>
  <c r="R278" i="3"/>
  <c r="S278" i="3"/>
  <c r="T278" i="3"/>
  <c r="O279" i="3"/>
  <c r="P279" i="3"/>
  <c r="Q279" i="3"/>
  <c r="R279" i="3"/>
  <c r="S279" i="3"/>
  <c r="T279" i="3"/>
  <c r="O280" i="3"/>
  <c r="P280" i="3"/>
  <c r="Q280" i="3"/>
  <c r="R280" i="3"/>
  <c r="S280" i="3"/>
  <c r="T280" i="3"/>
  <c r="O281" i="3"/>
  <c r="P281" i="3"/>
  <c r="Q281" i="3"/>
  <c r="R281" i="3"/>
  <c r="S281" i="3"/>
  <c r="T281" i="3"/>
  <c r="O282" i="3"/>
  <c r="P282" i="3"/>
  <c r="Q282" i="3"/>
  <c r="R282" i="3"/>
  <c r="S282" i="3"/>
  <c r="T282" i="3"/>
  <c r="O283" i="3"/>
  <c r="P283" i="3"/>
  <c r="Q283" i="3"/>
  <c r="R283" i="3"/>
  <c r="S283" i="3"/>
  <c r="T283" i="3"/>
  <c r="O284" i="3"/>
  <c r="P284" i="3"/>
  <c r="Q284" i="3"/>
  <c r="R284" i="3"/>
  <c r="S284" i="3"/>
  <c r="T284" i="3"/>
  <c r="O285" i="3"/>
  <c r="P285" i="3"/>
  <c r="Q285" i="3"/>
  <c r="R285" i="3"/>
  <c r="S285" i="3"/>
  <c r="T285" i="3"/>
  <c r="O286" i="3"/>
  <c r="P286" i="3"/>
  <c r="Q286" i="3"/>
  <c r="R286" i="3"/>
  <c r="S286" i="3"/>
  <c r="T286" i="3"/>
  <c r="O287" i="3"/>
  <c r="P287" i="3"/>
  <c r="Q287" i="3"/>
  <c r="R287" i="3"/>
  <c r="S287" i="3"/>
  <c r="T287" i="3"/>
  <c r="O288" i="3"/>
  <c r="P288" i="3"/>
  <c r="Q288" i="3"/>
  <c r="R288" i="3"/>
  <c r="S288" i="3"/>
  <c r="T288" i="3"/>
  <c r="O289" i="3"/>
  <c r="P289" i="3"/>
  <c r="Q289" i="3"/>
  <c r="R289" i="3"/>
  <c r="S289" i="3"/>
  <c r="T289" i="3"/>
  <c r="O290" i="3"/>
  <c r="P290" i="3"/>
  <c r="Q290" i="3"/>
  <c r="R290" i="3"/>
  <c r="S290" i="3"/>
  <c r="T290" i="3"/>
  <c r="O291" i="3"/>
  <c r="P291" i="3"/>
  <c r="Q291" i="3"/>
  <c r="R291" i="3"/>
  <c r="S291" i="3"/>
  <c r="T291" i="3"/>
  <c r="O292" i="3"/>
  <c r="P292" i="3"/>
  <c r="Q292" i="3"/>
  <c r="R292" i="3"/>
  <c r="S292" i="3"/>
  <c r="T292" i="3"/>
  <c r="O293" i="3"/>
  <c r="P293" i="3"/>
  <c r="Q293" i="3"/>
  <c r="R293" i="3"/>
  <c r="S293" i="3"/>
  <c r="T293" i="3"/>
  <c r="O294" i="3"/>
  <c r="P294" i="3"/>
  <c r="Q294" i="3"/>
  <c r="R294" i="3"/>
  <c r="S294" i="3"/>
  <c r="T294" i="3"/>
  <c r="O295" i="3"/>
  <c r="P295" i="3"/>
  <c r="Q295" i="3"/>
  <c r="R295" i="3"/>
  <c r="S295" i="3"/>
  <c r="T295" i="3"/>
  <c r="O296" i="3"/>
  <c r="P296" i="3"/>
  <c r="Q296" i="3"/>
  <c r="R296" i="3"/>
  <c r="S296" i="3"/>
  <c r="T296" i="3"/>
  <c r="O297" i="3"/>
  <c r="P297" i="3"/>
  <c r="Q297" i="3"/>
  <c r="R297" i="3"/>
  <c r="S297" i="3"/>
  <c r="T297" i="3"/>
  <c r="O298" i="3"/>
  <c r="P298" i="3"/>
  <c r="Q298" i="3"/>
  <c r="R298" i="3"/>
  <c r="S298" i="3"/>
  <c r="T298" i="3"/>
  <c r="O299" i="3"/>
  <c r="P299" i="3"/>
  <c r="Q299" i="3"/>
  <c r="R299" i="3"/>
  <c r="S299" i="3"/>
  <c r="T299" i="3"/>
  <c r="O300" i="3"/>
  <c r="P300" i="3"/>
  <c r="Q300" i="3"/>
  <c r="R300" i="3"/>
  <c r="S300" i="3"/>
  <c r="T300" i="3"/>
  <c r="O301" i="3"/>
  <c r="P301" i="3"/>
  <c r="Q301" i="3"/>
  <c r="R301" i="3"/>
  <c r="S301" i="3"/>
  <c r="T301" i="3"/>
  <c r="O302" i="3"/>
  <c r="P302" i="3"/>
  <c r="Q302" i="3"/>
  <c r="R302" i="3"/>
  <c r="S302" i="3"/>
  <c r="T302" i="3"/>
  <c r="O303" i="3"/>
  <c r="P303" i="3"/>
  <c r="Q303" i="3"/>
  <c r="R303" i="3"/>
  <c r="S303" i="3"/>
  <c r="T303" i="3"/>
  <c r="O304" i="3"/>
  <c r="P304" i="3"/>
  <c r="Q304" i="3"/>
  <c r="R304" i="3"/>
  <c r="S304" i="3"/>
  <c r="T304" i="3"/>
  <c r="O305" i="3"/>
  <c r="P305" i="3"/>
  <c r="Q305" i="3"/>
  <c r="R305" i="3"/>
  <c r="S305" i="3"/>
  <c r="T305" i="3"/>
  <c r="O306" i="3"/>
  <c r="P306" i="3"/>
  <c r="Q306" i="3"/>
  <c r="R306" i="3"/>
  <c r="S306" i="3"/>
  <c r="T306" i="3"/>
  <c r="O307" i="3"/>
  <c r="P307" i="3"/>
  <c r="Q307" i="3"/>
  <c r="R307" i="3"/>
  <c r="S307" i="3"/>
  <c r="T307" i="3"/>
  <c r="O308" i="3"/>
  <c r="P308" i="3"/>
  <c r="Q308" i="3"/>
  <c r="R308" i="3"/>
  <c r="S308" i="3"/>
  <c r="T308" i="3"/>
  <c r="O309" i="3"/>
  <c r="P309" i="3"/>
  <c r="Q309" i="3"/>
  <c r="R309" i="3"/>
  <c r="S309" i="3"/>
  <c r="T309" i="3"/>
  <c r="O310" i="3"/>
  <c r="P310" i="3"/>
  <c r="Q310" i="3"/>
  <c r="R310" i="3"/>
  <c r="S310" i="3"/>
  <c r="T310" i="3"/>
  <c r="O311" i="3"/>
  <c r="P311" i="3"/>
  <c r="Q311" i="3"/>
  <c r="R311" i="3"/>
  <c r="S311" i="3"/>
  <c r="T311" i="3"/>
  <c r="O312" i="3"/>
  <c r="P312" i="3"/>
  <c r="Q312" i="3"/>
  <c r="R312" i="3"/>
  <c r="S312" i="3"/>
  <c r="T312" i="3"/>
  <c r="O313" i="3"/>
  <c r="P313" i="3"/>
  <c r="Q313" i="3"/>
  <c r="R313" i="3"/>
  <c r="S313" i="3"/>
  <c r="T313" i="3"/>
  <c r="O314" i="3"/>
  <c r="P314" i="3"/>
  <c r="Q314" i="3"/>
  <c r="R314" i="3"/>
  <c r="S314" i="3"/>
  <c r="T314" i="3"/>
  <c r="O315" i="3"/>
  <c r="P315" i="3"/>
  <c r="Q315" i="3"/>
  <c r="R315" i="3"/>
  <c r="S315" i="3"/>
  <c r="T315" i="3"/>
  <c r="O316" i="3"/>
  <c r="P316" i="3"/>
  <c r="Q316" i="3"/>
  <c r="R316" i="3"/>
  <c r="S316" i="3"/>
  <c r="T316" i="3"/>
  <c r="O317" i="3"/>
  <c r="P317" i="3"/>
  <c r="Q317" i="3"/>
  <c r="R317" i="3"/>
  <c r="S317" i="3"/>
  <c r="T317" i="3"/>
  <c r="O318" i="3"/>
  <c r="P318" i="3"/>
  <c r="Q318" i="3"/>
  <c r="R318" i="3"/>
  <c r="S318" i="3"/>
  <c r="T318" i="3"/>
  <c r="O319" i="3"/>
  <c r="P319" i="3"/>
  <c r="Q319" i="3"/>
  <c r="R319" i="3"/>
  <c r="S319" i="3"/>
  <c r="T319" i="3"/>
  <c r="O320" i="3"/>
  <c r="P320" i="3"/>
  <c r="Q320" i="3"/>
  <c r="R320" i="3"/>
  <c r="S320" i="3"/>
  <c r="T320" i="3"/>
  <c r="O321" i="3"/>
  <c r="P321" i="3"/>
  <c r="Q321" i="3"/>
  <c r="R321" i="3"/>
  <c r="S321" i="3"/>
  <c r="T321" i="3"/>
  <c r="T2" i="3"/>
  <c r="S2" i="3"/>
  <c r="R2" i="3"/>
  <c r="Q2" i="3"/>
  <c r="P2" i="3"/>
  <c r="O2" i="3"/>
</calcChain>
</file>

<file path=xl/sharedStrings.xml><?xml version="1.0" encoding="utf-8"?>
<sst xmlns="http://schemas.openxmlformats.org/spreadsheetml/2006/main" count="3053" uniqueCount="161">
  <si>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</si>
  <si>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</si>
  <si>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</si>
  <si>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</si>
  <si>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</si>
  <si>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</si>
  <si>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</si>
  <si>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</si>
  <si>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</si>
  <si>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</si>
  <si>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</si>
  <si>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</si>
  <si>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</si>
  <si>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</si>
  <si>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</si>
  <si>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</si>
  <si>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</si>
  <si>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</si>
  <si>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</si>
  <si>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</si>
  <si>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</si>
  <si>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</si>
  <si>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</si>
  <si>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</si>
  <si>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</si>
  <si>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</si>
  <si>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</si>
  <si>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</si>
  <si>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</si>
  <si>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</si>
  <si>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</si>
  <si>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</si>
  <si>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</si>
  <si>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</si>
  <si>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</si>
  <si>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</si>
  <si>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</si>
  <si>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</si>
  <si>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</si>
  <si>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</si>
  <si>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</si>
  <si>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</si>
  <si>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</si>
  <si>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</si>
  <si>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</si>
  <si>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</si>
  <si>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</si>
  <si>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</si>
  <si>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</si>
  <si>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</si>
  <si>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</si>
  <si>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</si>
  <si>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</si>
  <si>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</si>
  <si>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</si>
  <si>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</si>
  <si>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</si>
  <si>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</si>
  <si>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</si>
  <si>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</si>
  <si>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</si>
  <si>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</si>
  <si>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</si>
  <si>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</si>
  <si>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</si>
  <si>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</si>
  <si>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</si>
  <si>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</si>
  <si>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</si>
  <si>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</si>
  <si>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</si>
  <si>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</si>
  <si>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</si>
  <si>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</si>
  <si>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</si>
  <si>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</si>
  <si>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</si>
  <si>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</si>
  <si>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</si>
  <si>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</si>
  <si>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</si>
  <si>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</si>
  <si>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</si>
  <si>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</si>
  <si>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</si>
  <si>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</si>
  <si>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</si>
  <si>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</si>
  <si>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</si>
  <si>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</si>
  <si>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</si>
  <si>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</si>
  <si>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</si>
  <si>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</si>
  <si>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</si>
  <si>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</si>
  <si>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</si>
  <si>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</si>
  <si>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</si>
  <si>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</si>
  <si>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</si>
  <si>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</si>
  <si>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</si>
  <si>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</si>
  <si>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</si>
  <si>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Store_HighStreet</t>
  </si>
  <si>
    <t>Store_Airport</t>
  </si>
  <si>
    <t>Store_Mall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</si>
  <si>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</si>
  <si>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</si>
  <si>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</si>
  <si>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</si>
  <si>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</si>
  <si>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</si>
  <si>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</si>
  <si>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</si>
  <si>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</si>
  <si>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</si>
  <si>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</si>
  <si>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</si>
  <si>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</si>
  <si>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</si>
  <si>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</si>
  <si>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</si>
  <si>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</si>
  <si>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</si>
  <si>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</si>
  <si>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</si>
  <si>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</si>
  <si>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</si>
  <si>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</si>
  <si>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</si>
  <si>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</si>
  <si>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</si>
  <si>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</si>
  <si>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</si>
  <si>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Reg_Marketing</t>
  </si>
  <si>
    <t>Reg_Footfall</t>
  </si>
  <si>
    <t>Reg_Inventory</t>
  </si>
  <si>
    <t>Model Name</t>
  </si>
  <si>
    <t>Dependent Variable</t>
  </si>
  <si>
    <t>Independent Variables</t>
  </si>
  <si>
    <t>R-Squared</t>
  </si>
  <si>
    <t>Significant Variables</t>
  </si>
  <si>
    <t>Business Usefulness</t>
  </si>
  <si>
    <t>Limitation</t>
  </si>
  <si>
    <t>Simple Regression (Marketing Spend)</t>
  </si>
  <si>
    <t>marketing_spend (p &lt; 0.05)</t>
  </si>
  <si>
    <t>Shows effect of marketing on sales</t>
  </si>
  <si>
    <t>Explains only 16.7% of sales variation</t>
  </si>
  <si>
    <t>Simple Regression (Footfall)</t>
  </si>
  <si>
    <t>footfall (p &lt; 0.05)</t>
  </si>
  <si>
    <t>Strong predictor of sales</t>
  </si>
  <si>
    <t>Ignores other factors</t>
  </si>
  <si>
    <t>Multiple Regression</t>
  </si>
  <si>
    <t>marketing_spend, footfall, inventory_availability_pct, Store_Mall</t>
  </si>
  <si>
    <t>All variables (p &lt; 0.05)</t>
  </si>
  <si>
    <t>Best model for predicting sales</t>
  </si>
  <si>
    <t>Still doesn't capture all factors affecting sales</t>
  </si>
  <si>
    <t>Actual_Sales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</si>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</sst>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50B4-9EB4-45DC-BCD5-F0DAFC509563}">
  <dimension ref="A1:N321"/>
  <sheetViews>
    <sheetView workbookViewId="0">
      <selection activeCell="J1" sqref="J1:J1048576"/>
    </sheetView>
  </sheetViews>
  <sheetFormatPr defaultRowHeight="14.6"/>
  <cols>
    <col min="1" max="4" width="17.23046875" customWidth="1"/>
    <col min="5" max="5" width="25.07421875" customWidth="1"/>
    <col min="6" max="6" width="17.23046875" customWidth="1"/>
    <col min="7" max="7" width="28.69140625" customWidth="1"/>
    <col min="8" max="8" width="17.23046875" customWidth="1"/>
    <col min="9" max="9" width="29" customWidth="1"/>
    <col min="10" max="10" width="28.15234375" customWidth="1"/>
    <col min="11" max="14" width="17.23046875" customWidth="1"/>
  </cols>
  <sheetData>
    <row r="1" spans="1:14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CE84-A7A1-4601-B168-A6648D0A775C}">
  <dimension ref="A1:N321"/>
  <sheetViews>
    <sheetView topLeftCell="A204" workbookViewId="0">
      <selection activeCell="M2" sqref="M2:M321"/>
    </sheetView>
  </sheetViews>
  <sheetFormatPr defaultRowHeight="14.6"/>
  <cols>
    <col min="1" max="6" width="17.23046875" customWidth="1"/>
    <col min="7" max="7" width="26.3828125" customWidth="1"/>
    <col min="8" max="8" width="17.23046875" customWidth="1"/>
    <col min="9" max="9" width="31.3828125" customWidth="1"/>
    <col min="10" max="10" width="31.84375" customWidth="1"/>
    <col min="11" max="14" width="17.23046875" customWidth="1"/>
  </cols>
  <sheetData>
    <row r="1" spans="1:14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66F4-601F-4236-BEF8-30B628FAA870}">
  <dimension ref="A1:G4"/>
  <sheetViews>
    <sheetView zoomScale="70" workbookViewId="0">
      <selection activeCell="B1048553" sqref="B1048553"/>
    </sheetView>
  </sheetViews>
  <sheetFormatPr defaultRowHeight="14.6"/>
  <cols>
    <col min="1" max="1" width="14.15234375" customWidth="1"/>
    <col min="2" max="2" width="16.69140625" customWidth="1"/>
    <col min="3" max="3" width="15.765625" customWidth="1"/>
    <col min="4" max="4" width="16.4609375" customWidth="1"/>
    <col min="5" max="5" width="15.07421875" customWidth="1"/>
    <col min="6" max="6" width="14.23046875" customWidth="1"/>
    <col min="7" max="7" width="19.69140625" customWidth="1"/>
  </cols>
  <sheetData>
    <row r="1" spans="1:7" ht="43.75">
      <c r="A1" s="8" t="s">
        <v>139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</row>
    <row r="2" spans="1:7" ht="72.900000000000006">
      <c r="A2" s="7" t="s">
        <v>146</v>
      </c>
      <c r="B2" s="7" t="s">
        <v>12</v>
      </c>
      <c r="C2" s="7" t="s">
        <v>4</v>
      </c>
      <c r="D2" s="7">
        <v>0.16700000000000001</v>
      </c>
      <c r="E2" s="7" t="s">
        <v>147</v>
      </c>
      <c r="F2" s="7" t="s">
        <v>148</v>
      </c>
      <c r="G2" s="7" t="s">
        <v>149</v>
      </c>
    </row>
    <row r="3" spans="1:7" ht="58.3">
      <c r="A3" s="7" t="s">
        <v>150</v>
      </c>
      <c r="B3" s="7" t="s">
        <v>12</v>
      </c>
      <c r="C3" s="7" t="s">
        <v>5</v>
      </c>
      <c r="D3" s="7">
        <v>0.73599999999999999</v>
      </c>
      <c r="E3" s="7" t="s">
        <v>151</v>
      </c>
      <c r="F3" s="7" t="s">
        <v>152</v>
      </c>
      <c r="G3" s="7" t="s">
        <v>153</v>
      </c>
    </row>
    <row r="4" spans="1:7" ht="116.6">
      <c r="A4" s="7" t="s">
        <v>154</v>
      </c>
      <c r="B4" s="7" t="s">
        <v>12</v>
      </c>
      <c r="C4" s="7" t="s">
        <v>155</v>
      </c>
      <c r="D4" s="7">
        <v>0.80900000000000005</v>
      </c>
      <c r="E4" s="7" t="s">
        <v>156</v>
      </c>
      <c r="F4" s="7" t="s">
        <v>157</v>
      </c>
      <c r="G4" s="7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6BED-0805-4DA7-807C-A1F420D3E542}">
  <dimension ref="A1:W321"/>
  <sheetViews>
    <sheetView topLeftCell="N300" zoomScale="80" zoomScaleNormal="179" workbookViewId="0">
      <selection activeCell="Y10" sqref="Y10"/>
    </sheetView>
  </sheetViews>
  <sheetFormatPr defaultRowHeight="14.6"/>
  <cols>
    <col min="1" max="6" width="17.23046875" customWidth="1"/>
    <col min="7" max="7" width="26.3828125" customWidth="1"/>
    <col min="8" max="8" width="17.23046875" customWidth="1"/>
    <col min="9" max="9" width="31.3828125" customWidth="1"/>
    <col min="10" max="10" width="31.84375" customWidth="1"/>
    <col min="11" max="14" width="17.23046875" customWidth="1"/>
    <col min="15" max="15" width="14.23046875" bestFit="1" customWidth="1"/>
    <col min="16" max="17" width="15.23046875" bestFit="1" customWidth="1"/>
    <col min="18" max="18" width="17.3046875" bestFit="1" customWidth="1"/>
    <col min="19" max="20" width="15.23046875" bestFit="1" customWidth="1"/>
    <col min="21" max="21" width="15.4609375" bestFit="1" customWidth="1"/>
    <col min="22" max="22" width="13.15234375" bestFit="1" customWidth="1"/>
    <col min="23" max="23" width="15.07421875" bestFit="1" customWidth="1"/>
  </cols>
  <sheetData>
    <row r="1" spans="1:23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136</v>
      </c>
      <c r="V1" s="1" t="s">
        <v>137</v>
      </c>
      <c r="W1" s="1" t="s">
        <v>138</v>
      </c>
    </row>
    <row r="2" spans="1:23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IF($C2="North",1,0)</f>
        <v>0</v>
      </c>
      <c r="P2">
        <f>IF($C2="South",1,0)</f>
        <v>0</v>
      </c>
      <c r="Q2">
        <f>IF($C2="West",1,0)</f>
        <v>0</v>
      </c>
      <c r="R2">
        <f>IF($D2="High Street",1,0)</f>
        <v>0</v>
      </c>
      <c r="S2">
        <f>IF($D2="Airport",1,0)</f>
        <v>0</v>
      </c>
      <c r="T2">
        <f>IF($D2="Mall",1,0)</f>
        <v>0</v>
      </c>
      <c r="U2">
        <v>70389.11</v>
      </c>
      <c r="V2">
        <v>8302</v>
      </c>
      <c r="W2">
        <v>75</v>
      </c>
    </row>
    <row r="3" spans="1:23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IF($C3="North",1,0)</f>
        <v>0</v>
      </c>
      <c r="P3">
        <f t="shared" ref="P3:P66" si="1">IF($C3="South",1,0)</f>
        <v>0</v>
      </c>
      <c r="Q3">
        <f t="shared" ref="Q3:Q66" si="2">IF($C3="West",1,0)</f>
        <v>0</v>
      </c>
      <c r="R3">
        <f t="shared" ref="R3:R66" si="3">IF($D3="High Street",1,0)</f>
        <v>0</v>
      </c>
      <c r="S3">
        <f t="shared" ref="S3:S66" si="4">IF($D3="Airport",1,0)</f>
        <v>0</v>
      </c>
      <c r="T3">
        <f t="shared" ref="T3:T66" si="5">IF($D3="Mall",1,0)</f>
        <v>0</v>
      </c>
      <c r="U3">
        <v>43827.89</v>
      </c>
      <c r="V3">
        <v>8487</v>
      </c>
      <c r="W3">
        <v>84.4</v>
      </c>
    </row>
    <row r="4" spans="1:23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0</v>
      </c>
      <c r="U4">
        <v>59921.75</v>
      </c>
      <c r="V4">
        <v>9113</v>
      </c>
      <c r="W4">
        <v>88</v>
      </c>
    </row>
    <row r="5" spans="1:23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  <c r="U5">
        <v>56856.63</v>
      </c>
      <c r="V5">
        <v>9431</v>
      </c>
      <c r="W5">
        <v>86.9</v>
      </c>
    </row>
    <row r="6" spans="1:23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1</v>
      </c>
      <c r="S6">
        <f t="shared" si="4"/>
        <v>0</v>
      </c>
      <c r="T6">
        <f t="shared" si="5"/>
        <v>0</v>
      </c>
      <c r="U6">
        <v>48412.639999999999</v>
      </c>
      <c r="V6">
        <v>9545</v>
      </c>
      <c r="W6">
        <v>97.6</v>
      </c>
    </row>
    <row r="7" spans="1:23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1</v>
      </c>
      <c r="S7">
        <f t="shared" si="4"/>
        <v>0</v>
      </c>
      <c r="T7">
        <f t="shared" si="5"/>
        <v>0</v>
      </c>
      <c r="U7">
        <v>64811.21</v>
      </c>
      <c r="V7">
        <v>9792</v>
      </c>
      <c r="W7">
        <v>84.2</v>
      </c>
    </row>
    <row r="8" spans="1:23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1</v>
      </c>
      <c r="S8">
        <f t="shared" si="4"/>
        <v>0</v>
      </c>
      <c r="T8">
        <f t="shared" si="5"/>
        <v>0</v>
      </c>
      <c r="U8">
        <v>46213.45</v>
      </c>
      <c r="V8">
        <v>10616</v>
      </c>
      <c r="W8">
        <v>85.2</v>
      </c>
    </row>
    <row r="9" spans="1:23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1</v>
      </c>
      <c r="S9">
        <f t="shared" si="4"/>
        <v>0</v>
      </c>
      <c r="T9">
        <f t="shared" si="5"/>
        <v>0</v>
      </c>
      <c r="U9">
        <v>68148.52</v>
      </c>
      <c r="V9">
        <v>8567</v>
      </c>
      <c r="W9">
        <v>95.6</v>
      </c>
    </row>
    <row r="10" spans="1:23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1</v>
      </c>
      <c r="T10">
        <f t="shared" si="5"/>
        <v>0</v>
      </c>
      <c r="U10">
        <v>71838.86</v>
      </c>
      <c r="V10">
        <v>10979</v>
      </c>
      <c r="W10">
        <v>88.6</v>
      </c>
    </row>
    <row r="11" spans="1:23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1</v>
      </c>
      <c r="T11">
        <f t="shared" si="5"/>
        <v>0</v>
      </c>
      <c r="U11">
        <v>68133.440000000002</v>
      </c>
      <c r="V11">
        <v>9459</v>
      </c>
      <c r="W11">
        <v>85</v>
      </c>
    </row>
    <row r="12" spans="1:23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1</v>
      </c>
      <c r="T12">
        <f t="shared" si="5"/>
        <v>0</v>
      </c>
      <c r="U12">
        <v>34285.21</v>
      </c>
      <c r="V12">
        <v>9172</v>
      </c>
      <c r="W12">
        <v>88.3</v>
      </c>
    </row>
    <row r="13" spans="1:23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1</v>
      </c>
      <c r="T13">
        <f t="shared" si="5"/>
        <v>0</v>
      </c>
      <c r="U13">
        <v>67979.88</v>
      </c>
      <c r="V13">
        <v>11230</v>
      </c>
      <c r="W13">
        <v>85.3</v>
      </c>
    </row>
    <row r="14" spans="1:23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  <c r="U14">
        <v>71828.259999999995</v>
      </c>
      <c r="V14">
        <v>12775</v>
      </c>
      <c r="W14">
        <v>81.7</v>
      </c>
    </row>
    <row r="15" spans="1:23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  <c r="U15">
        <v>55716.82</v>
      </c>
      <c r="V15">
        <v>10054</v>
      </c>
      <c r="W15">
        <v>84.9</v>
      </c>
    </row>
    <row r="16" spans="1:23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0</v>
      </c>
      <c r="U16">
        <v>59909.51</v>
      </c>
      <c r="V16">
        <v>8895</v>
      </c>
      <c r="W16">
        <v>88.8</v>
      </c>
    </row>
    <row r="17" spans="1:23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0</v>
      </c>
      <c r="U17">
        <v>75305.710000000006</v>
      </c>
      <c r="V17">
        <v>10940</v>
      </c>
      <c r="W17">
        <v>76.5</v>
      </c>
    </row>
    <row r="18" spans="1:23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  <c r="U18">
        <v>48804.22</v>
      </c>
      <c r="V18">
        <v>7057</v>
      </c>
      <c r="W18">
        <v>87.7</v>
      </c>
    </row>
    <row r="19" spans="1:23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  <c r="U19">
        <v>59117.9</v>
      </c>
      <c r="V19">
        <v>4263</v>
      </c>
      <c r="W19">
        <v>87.6</v>
      </c>
    </row>
    <row r="20" spans="1:23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  <c r="U20">
        <v>78831.12</v>
      </c>
      <c r="V20">
        <v>5538</v>
      </c>
      <c r="W20">
        <v>94.1</v>
      </c>
    </row>
    <row r="21" spans="1:23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  <c r="U21">
        <v>41441.93</v>
      </c>
      <c r="V21">
        <v>4865</v>
      </c>
      <c r="W21">
        <v>88.3</v>
      </c>
    </row>
    <row r="22" spans="1:23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  <c r="U22">
        <v>30356.28</v>
      </c>
      <c r="V22">
        <v>2822</v>
      </c>
      <c r="W22">
        <v>84.8</v>
      </c>
    </row>
    <row r="23" spans="1:23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  <c r="U23">
        <v>33518.879999999997</v>
      </c>
      <c r="V23">
        <v>2121</v>
      </c>
      <c r="W23">
        <v>88.5</v>
      </c>
    </row>
    <row r="24" spans="1:23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  <c r="U24">
        <v>42267.37</v>
      </c>
      <c r="V24">
        <v>3364</v>
      </c>
      <c r="W24">
        <v>82</v>
      </c>
    </row>
    <row r="25" spans="1:23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  <c r="U25">
        <v>62060.43</v>
      </c>
      <c r="V25">
        <v>2613</v>
      </c>
      <c r="W25">
        <v>92.1</v>
      </c>
    </row>
    <row r="26" spans="1:23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f t="shared" si="3"/>
        <v>0</v>
      </c>
      <c r="S26">
        <f t="shared" si="4"/>
        <v>0</v>
      </c>
      <c r="T26">
        <f t="shared" si="5"/>
        <v>1</v>
      </c>
      <c r="U26">
        <v>57696.69</v>
      </c>
      <c r="V26">
        <v>10218</v>
      </c>
      <c r="W26">
        <v>94.8</v>
      </c>
    </row>
    <row r="27" spans="1:23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0</v>
      </c>
      <c r="T27">
        <f t="shared" si="5"/>
        <v>1</v>
      </c>
      <c r="U27">
        <v>172415.52</v>
      </c>
      <c r="V27">
        <v>8927</v>
      </c>
      <c r="W27">
        <v>86.2</v>
      </c>
    </row>
    <row r="28" spans="1:23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0</v>
      </c>
      <c r="T28">
        <f t="shared" si="5"/>
        <v>1</v>
      </c>
      <c r="U28">
        <v>55270.52</v>
      </c>
      <c r="V28">
        <v>9315</v>
      </c>
      <c r="W28">
        <v>91.9</v>
      </c>
    </row>
    <row r="29" spans="1:23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0</v>
      </c>
      <c r="T29">
        <f t="shared" si="5"/>
        <v>1</v>
      </c>
      <c r="U29">
        <v>52715.1</v>
      </c>
      <c r="V29">
        <v>7223</v>
      </c>
      <c r="W29">
        <v>84.2</v>
      </c>
    </row>
    <row r="30" spans="1:23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0</v>
      </c>
      <c r="U30">
        <v>68600.62</v>
      </c>
      <c r="V30">
        <v>3988</v>
      </c>
      <c r="W30">
        <v>85</v>
      </c>
    </row>
    <row r="31" spans="1:23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  <c r="U31">
        <v>63176.73</v>
      </c>
      <c r="V31">
        <v>2390</v>
      </c>
      <c r="W31">
        <v>87.5</v>
      </c>
    </row>
    <row r="32" spans="1:23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  <c r="U32">
        <v>44970.080000000002</v>
      </c>
      <c r="V32">
        <v>2471</v>
      </c>
      <c r="W32">
        <v>87.6</v>
      </c>
    </row>
    <row r="33" spans="1:23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  <c r="U33">
        <v>69816.350000000006</v>
      </c>
      <c r="V33">
        <v>971</v>
      </c>
      <c r="W33">
        <v>89.9</v>
      </c>
    </row>
    <row r="34" spans="1:23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  <c r="U34">
        <v>54597.83</v>
      </c>
      <c r="V34">
        <v>9429</v>
      </c>
      <c r="W34">
        <v>83.3</v>
      </c>
    </row>
    <row r="35" spans="1:23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  <c r="U35">
        <v>73771.91</v>
      </c>
      <c r="V35">
        <v>11695</v>
      </c>
      <c r="W35">
        <v>84.7</v>
      </c>
    </row>
    <row r="36" spans="1:23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  <c r="U36">
        <v>74413.88</v>
      </c>
      <c r="V36">
        <v>9449</v>
      </c>
      <c r="W36">
        <v>92.1</v>
      </c>
    </row>
    <row r="37" spans="1:23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  <c r="U37">
        <v>52483.77</v>
      </c>
      <c r="V37">
        <v>10453</v>
      </c>
      <c r="W37">
        <v>99</v>
      </c>
    </row>
    <row r="38" spans="1:23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1</v>
      </c>
      <c r="U38">
        <v>75269.87</v>
      </c>
      <c r="V38">
        <v>8838</v>
      </c>
      <c r="W38">
        <v>83.1</v>
      </c>
    </row>
    <row r="39" spans="1:23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1</v>
      </c>
      <c r="U39">
        <v>61245.41</v>
      </c>
      <c r="V39">
        <v>8156</v>
      </c>
      <c r="W39">
        <v>92.9</v>
      </c>
    </row>
    <row r="40" spans="1:23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1</v>
      </c>
      <c r="U40">
        <v>93381.26</v>
      </c>
      <c r="V40">
        <v>7562</v>
      </c>
      <c r="W40">
        <v>82.9</v>
      </c>
    </row>
    <row r="41" spans="1:23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1</v>
      </c>
      <c r="U41">
        <v>65012.19</v>
      </c>
      <c r="V41">
        <v>9598</v>
      </c>
      <c r="W41">
        <v>98.3</v>
      </c>
    </row>
    <row r="42" spans="1:23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1</v>
      </c>
      <c r="U42">
        <v>40462.94</v>
      </c>
      <c r="V42">
        <v>3660</v>
      </c>
      <c r="W42">
        <v>95.2</v>
      </c>
    </row>
    <row r="43" spans="1:23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1</v>
      </c>
      <c r="U43">
        <v>46123.88</v>
      </c>
      <c r="V43">
        <v>3227</v>
      </c>
      <c r="W43">
        <v>75.400000000000006</v>
      </c>
    </row>
    <row r="44" spans="1:23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1</v>
      </c>
      <c r="U44">
        <v>68077.539999999994</v>
      </c>
      <c r="V44">
        <v>3360</v>
      </c>
      <c r="W44">
        <v>88.2</v>
      </c>
    </row>
    <row r="45" spans="1:23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1</v>
      </c>
      <c r="U45">
        <v>64882.14</v>
      </c>
      <c r="V45">
        <v>3642</v>
      </c>
      <c r="W45">
        <v>87.8</v>
      </c>
    </row>
    <row r="46" spans="1:23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5"/>
        <v>0</v>
      </c>
      <c r="U46">
        <v>138855.51</v>
      </c>
      <c r="V46">
        <v>5145</v>
      </c>
      <c r="W46">
        <v>88.2</v>
      </c>
    </row>
    <row r="47" spans="1:23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  <c r="R47">
        <f t="shared" si="3"/>
        <v>0</v>
      </c>
      <c r="S47">
        <f t="shared" si="4"/>
        <v>0</v>
      </c>
      <c r="T47">
        <f t="shared" si="5"/>
        <v>0</v>
      </c>
      <c r="U47">
        <v>63630.21</v>
      </c>
      <c r="V47">
        <v>4460</v>
      </c>
      <c r="W47">
        <v>98.6</v>
      </c>
    </row>
    <row r="48" spans="1:23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  <c r="R48">
        <f t="shared" si="3"/>
        <v>0</v>
      </c>
      <c r="S48">
        <f t="shared" si="4"/>
        <v>0</v>
      </c>
      <c r="T48">
        <f t="shared" si="5"/>
        <v>0</v>
      </c>
      <c r="U48">
        <v>50043.65</v>
      </c>
      <c r="V48">
        <v>3804</v>
      </c>
      <c r="W48">
        <v>90.9</v>
      </c>
    </row>
    <row r="49" spans="1:23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  <c r="R49">
        <f t="shared" si="3"/>
        <v>0</v>
      </c>
      <c r="S49">
        <f t="shared" si="4"/>
        <v>0</v>
      </c>
      <c r="T49">
        <f t="shared" si="5"/>
        <v>0</v>
      </c>
      <c r="U49">
        <v>42093.84</v>
      </c>
      <c r="V49">
        <v>4074</v>
      </c>
      <c r="W49">
        <v>88</v>
      </c>
    </row>
    <row r="50" spans="1:23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1</v>
      </c>
      <c r="U50">
        <v>46624.05</v>
      </c>
      <c r="V50">
        <v>5104</v>
      </c>
      <c r="W50">
        <v>97.3</v>
      </c>
    </row>
    <row r="51" spans="1:23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1</v>
      </c>
      <c r="U51">
        <v>49710.29</v>
      </c>
      <c r="V51">
        <v>5559</v>
      </c>
      <c r="W51">
        <v>71</v>
      </c>
    </row>
    <row r="52" spans="1:23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1</v>
      </c>
      <c r="U52">
        <v>48287.85</v>
      </c>
      <c r="V52">
        <v>5150</v>
      </c>
      <c r="W52">
        <v>80.400000000000006</v>
      </c>
    </row>
    <row r="53" spans="1:23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1</v>
      </c>
      <c r="U53">
        <v>65312.49</v>
      </c>
      <c r="V53">
        <v>7189</v>
      </c>
      <c r="W53">
        <v>93.7</v>
      </c>
    </row>
    <row r="54" spans="1:23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1</v>
      </c>
      <c r="S54">
        <f t="shared" si="4"/>
        <v>0</v>
      </c>
      <c r="T54">
        <f t="shared" si="5"/>
        <v>0</v>
      </c>
      <c r="U54">
        <v>53015.46</v>
      </c>
      <c r="V54">
        <v>3279</v>
      </c>
      <c r="W54">
        <v>84.3</v>
      </c>
    </row>
    <row r="55" spans="1:23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  <c r="R55">
        <f t="shared" si="3"/>
        <v>1</v>
      </c>
      <c r="S55">
        <f t="shared" si="4"/>
        <v>0</v>
      </c>
      <c r="T55">
        <f t="shared" si="5"/>
        <v>0</v>
      </c>
      <c r="U55">
        <v>99874.01</v>
      </c>
      <c r="V55">
        <v>5887</v>
      </c>
      <c r="W55">
        <v>88.7</v>
      </c>
    </row>
    <row r="56" spans="1:23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  <c r="R56">
        <f t="shared" si="3"/>
        <v>1</v>
      </c>
      <c r="S56">
        <f t="shared" si="4"/>
        <v>0</v>
      </c>
      <c r="T56">
        <f t="shared" si="5"/>
        <v>0</v>
      </c>
      <c r="U56">
        <v>81195.5</v>
      </c>
      <c r="V56">
        <v>5516</v>
      </c>
      <c r="W56">
        <v>88</v>
      </c>
    </row>
    <row r="57" spans="1:23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  <c r="R57">
        <f t="shared" si="3"/>
        <v>1</v>
      </c>
      <c r="S57">
        <f t="shared" si="4"/>
        <v>0</v>
      </c>
      <c r="T57">
        <f t="shared" si="5"/>
        <v>0</v>
      </c>
      <c r="U57">
        <v>27808.6</v>
      </c>
      <c r="V57">
        <v>2863</v>
      </c>
      <c r="W57">
        <v>89.3</v>
      </c>
    </row>
    <row r="58" spans="1:23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1</v>
      </c>
      <c r="T58">
        <f t="shared" si="5"/>
        <v>0</v>
      </c>
      <c r="U58">
        <v>19365.060000000001</v>
      </c>
      <c r="V58">
        <v>2378</v>
      </c>
      <c r="W58">
        <v>94.8</v>
      </c>
    </row>
    <row r="59" spans="1:23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1</v>
      </c>
      <c r="T59">
        <f t="shared" si="5"/>
        <v>0</v>
      </c>
      <c r="U59">
        <v>59405.68</v>
      </c>
      <c r="V59">
        <v>2515</v>
      </c>
      <c r="W59">
        <v>76</v>
      </c>
    </row>
    <row r="60" spans="1:23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1</v>
      </c>
      <c r="T60">
        <f t="shared" si="5"/>
        <v>0</v>
      </c>
      <c r="U60">
        <v>118910.48</v>
      </c>
      <c r="V60">
        <v>4022</v>
      </c>
      <c r="W60">
        <v>87.1</v>
      </c>
    </row>
    <row r="61" spans="1:23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1</v>
      </c>
      <c r="T61">
        <f t="shared" si="5"/>
        <v>0</v>
      </c>
      <c r="U61">
        <v>52952.12</v>
      </c>
      <c r="V61">
        <v>4377</v>
      </c>
      <c r="W61">
        <v>88.6</v>
      </c>
    </row>
    <row r="62" spans="1:23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1</v>
      </c>
      <c r="S62">
        <f t="shared" si="4"/>
        <v>0</v>
      </c>
      <c r="T62">
        <f t="shared" si="5"/>
        <v>0</v>
      </c>
      <c r="U62">
        <v>74907.98</v>
      </c>
      <c r="V62">
        <v>5306</v>
      </c>
      <c r="W62">
        <v>95.6</v>
      </c>
    </row>
    <row r="63" spans="1:23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1</v>
      </c>
      <c r="S63">
        <f t="shared" si="4"/>
        <v>0</v>
      </c>
      <c r="T63">
        <f t="shared" si="5"/>
        <v>0</v>
      </c>
      <c r="U63">
        <v>37284.660000000003</v>
      </c>
      <c r="V63">
        <v>3928</v>
      </c>
      <c r="W63">
        <v>86.5</v>
      </c>
    </row>
    <row r="64" spans="1:23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1</v>
      </c>
      <c r="S64">
        <f t="shared" si="4"/>
        <v>0</v>
      </c>
      <c r="T64">
        <f t="shared" si="5"/>
        <v>0</v>
      </c>
      <c r="U64">
        <v>50343.19</v>
      </c>
      <c r="V64">
        <v>3845</v>
      </c>
      <c r="W64">
        <v>88.7</v>
      </c>
    </row>
    <row r="65" spans="1:23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1</v>
      </c>
      <c r="S65">
        <f t="shared" si="4"/>
        <v>0</v>
      </c>
      <c r="T65">
        <f t="shared" si="5"/>
        <v>0</v>
      </c>
      <c r="U65">
        <v>74954.47</v>
      </c>
      <c r="V65">
        <v>6620</v>
      </c>
      <c r="W65">
        <v>91.1</v>
      </c>
    </row>
    <row r="66" spans="1:23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  <c r="R66">
        <f t="shared" si="3"/>
        <v>1</v>
      </c>
      <c r="S66">
        <f t="shared" si="4"/>
        <v>0</v>
      </c>
      <c r="T66">
        <f t="shared" si="5"/>
        <v>0</v>
      </c>
      <c r="U66">
        <v>70040.31</v>
      </c>
      <c r="V66">
        <v>9175</v>
      </c>
      <c r="W66">
        <v>95.1</v>
      </c>
    </row>
    <row r="67" spans="1:23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6">IF($C67="North",1,0)</f>
        <v>0</v>
      </c>
      <c r="P67">
        <f t="shared" ref="P67:P130" si="7">IF($C67="South",1,0)</f>
        <v>0</v>
      </c>
      <c r="Q67">
        <f t="shared" ref="Q67:Q130" si="8">IF($C67="West",1,0)</f>
        <v>1</v>
      </c>
      <c r="R67">
        <f t="shared" ref="R67:R130" si="9">IF($D67="High Street",1,0)</f>
        <v>1</v>
      </c>
      <c r="S67">
        <f t="shared" ref="S67:S130" si="10">IF($D67="Airport",1,0)</f>
        <v>0</v>
      </c>
      <c r="T67">
        <f t="shared" ref="T67:T130" si="11">IF($D67="Mall",1,0)</f>
        <v>0</v>
      </c>
      <c r="U67">
        <v>51148.69</v>
      </c>
      <c r="V67">
        <v>7940</v>
      </c>
      <c r="W67">
        <v>93.3</v>
      </c>
    </row>
    <row r="68" spans="1:23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1</v>
      </c>
      <c r="R68">
        <f t="shared" si="9"/>
        <v>1</v>
      </c>
      <c r="S68">
        <f t="shared" si="10"/>
        <v>0</v>
      </c>
      <c r="T68">
        <f t="shared" si="11"/>
        <v>0</v>
      </c>
      <c r="U68">
        <v>79346.100000000006</v>
      </c>
      <c r="V68">
        <v>9628</v>
      </c>
      <c r="W68">
        <v>99</v>
      </c>
    </row>
    <row r="69" spans="1:23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1</v>
      </c>
      <c r="R69">
        <f t="shared" si="9"/>
        <v>1</v>
      </c>
      <c r="S69">
        <f t="shared" si="10"/>
        <v>0</v>
      </c>
      <c r="T69">
        <f t="shared" si="11"/>
        <v>0</v>
      </c>
      <c r="U69">
        <v>42018.400000000001</v>
      </c>
      <c r="V69">
        <v>8296</v>
      </c>
      <c r="W69">
        <v>91.8</v>
      </c>
    </row>
    <row r="70" spans="1:23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6"/>
        <v>0</v>
      </c>
      <c r="P70">
        <f t="shared" si="7"/>
        <v>0</v>
      </c>
      <c r="Q70">
        <f t="shared" si="8"/>
        <v>0</v>
      </c>
      <c r="R70">
        <f t="shared" si="9"/>
        <v>1</v>
      </c>
      <c r="S70">
        <f t="shared" si="10"/>
        <v>0</v>
      </c>
      <c r="T70">
        <f t="shared" si="11"/>
        <v>0</v>
      </c>
      <c r="U70">
        <v>70937.240000000005</v>
      </c>
      <c r="V70">
        <v>3595</v>
      </c>
      <c r="W70">
        <v>88.9</v>
      </c>
    </row>
    <row r="71" spans="1:23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6"/>
        <v>0</v>
      </c>
      <c r="P71">
        <f t="shared" si="7"/>
        <v>0</v>
      </c>
      <c r="Q71">
        <f t="shared" si="8"/>
        <v>0</v>
      </c>
      <c r="R71">
        <f t="shared" si="9"/>
        <v>1</v>
      </c>
      <c r="S71">
        <f t="shared" si="10"/>
        <v>0</v>
      </c>
      <c r="T71">
        <f t="shared" si="11"/>
        <v>0</v>
      </c>
      <c r="U71">
        <v>36813.449999999997</v>
      </c>
      <c r="V71">
        <v>2834</v>
      </c>
      <c r="W71">
        <v>81.8</v>
      </c>
    </row>
    <row r="72" spans="1:23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6"/>
        <v>0</v>
      </c>
      <c r="P72">
        <f t="shared" si="7"/>
        <v>0</v>
      </c>
      <c r="Q72">
        <f t="shared" si="8"/>
        <v>0</v>
      </c>
      <c r="R72">
        <f t="shared" si="9"/>
        <v>1</v>
      </c>
      <c r="S72">
        <f t="shared" si="10"/>
        <v>0</v>
      </c>
      <c r="T72">
        <f t="shared" si="11"/>
        <v>0</v>
      </c>
      <c r="U72">
        <v>60571.82</v>
      </c>
      <c r="V72">
        <v>3193</v>
      </c>
      <c r="W72">
        <v>99</v>
      </c>
    </row>
    <row r="73" spans="1:23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>
        <f t="shared" si="6"/>
        <v>0</v>
      </c>
      <c r="P73">
        <f t="shared" si="7"/>
        <v>0</v>
      </c>
      <c r="Q73">
        <f t="shared" si="8"/>
        <v>0</v>
      </c>
      <c r="R73">
        <f t="shared" si="9"/>
        <v>1</v>
      </c>
      <c r="S73">
        <f t="shared" si="10"/>
        <v>0</v>
      </c>
      <c r="T73">
        <f t="shared" si="11"/>
        <v>0</v>
      </c>
      <c r="U73">
        <v>55081.16</v>
      </c>
      <c r="V73">
        <v>5485</v>
      </c>
      <c r="W73">
        <v>88</v>
      </c>
    </row>
    <row r="74" spans="1:23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6"/>
        <v>0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0</v>
      </c>
      <c r="U74">
        <v>46201.46</v>
      </c>
      <c r="V74">
        <v>5918</v>
      </c>
      <c r="W74">
        <v>78.8</v>
      </c>
    </row>
    <row r="75" spans="1:23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6"/>
        <v>0</v>
      </c>
      <c r="P75">
        <f t="shared" si="7"/>
        <v>0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0</v>
      </c>
      <c r="U75">
        <v>53762.92</v>
      </c>
      <c r="V75">
        <v>6821</v>
      </c>
      <c r="W75">
        <v>94.6</v>
      </c>
    </row>
    <row r="76" spans="1:23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6"/>
        <v>0</v>
      </c>
      <c r="P76">
        <f t="shared" si="7"/>
        <v>0</v>
      </c>
      <c r="Q76">
        <f t="shared" si="8"/>
        <v>0</v>
      </c>
      <c r="R76">
        <f t="shared" si="9"/>
        <v>0</v>
      </c>
      <c r="S76">
        <f t="shared" si="10"/>
        <v>0</v>
      </c>
      <c r="T76">
        <f t="shared" si="11"/>
        <v>0</v>
      </c>
      <c r="U76">
        <v>70144.78</v>
      </c>
      <c r="V76">
        <v>6806</v>
      </c>
      <c r="W76">
        <v>93.1</v>
      </c>
    </row>
    <row r="77" spans="1:23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6"/>
        <v>0</v>
      </c>
      <c r="P77">
        <f t="shared" si="7"/>
        <v>0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0</v>
      </c>
      <c r="U77">
        <v>58749.63</v>
      </c>
      <c r="V77">
        <v>8252</v>
      </c>
      <c r="W77">
        <v>85.2</v>
      </c>
    </row>
    <row r="78" spans="1:23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1</v>
      </c>
      <c r="S78">
        <f t="shared" si="10"/>
        <v>0</v>
      </c>
      <c r="T78">
        <f t="shared" si="11"/>
        <v>0</v>
      </c>
      <c r="U78">
        <v>56973.18</v>
      </c>
      <c r="V78">
        <v>6662</v>
      </c>
      <c r="W78">
        <v>77.7</v>
      </c>
    </row>
    <row r="79" spans="1:23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1</v>
      </c>
      <c r="S79">
        <f t="shared" si="10"/>
        <v>0</v>
      </c>
      <c r="T79">
        <f t="shared" si="11"/>
        <v>0</v>
      </c>
      <c r="U79">
        <v>54872.82</v>
      </c>
      <c r="V79">
        <v>5962</v>
      </c>
      <c r="W79">
        <v>85.4</v>
      </c>
    </row>
    <row r="80" spans="1:23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1</v>
      </c>
      <c r="S80">
        <f t="shared" si="10"/>
        <v>0</v>
      </c>
      <c r="T80">
        <f t="shared" si="11"/>
        <v>0</v>
      </c>
      <c r="U80">
        <v>80562.81</v>
      </c>
      <c r="V80">
        <v>7470</v>
      </c>
      <c r="W80">
        <v>83.5</v>
      </c>
    </row>
    <row r="81" spans="1:23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1</v>
      </c>
      <c r="S81">
        <f t="shared" si="10"/>
        <v>0</v>
      </c>
      <c r="T81">
        <f t="shared" si="11"/>
        <v>0</v>
      </c>
      <c r="U81">
        <v>77999.899999999994</v>
      </c>
      <c r="V81">
        <v>5974</v>
      </c>
      <c r="W81">
        <v>81.3</v>
      </c>
    </row>
    <row r="82" spans="1:23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1</v>
      </c>
      <c r="R82">
        <f t="shared" si="9"/>
        <v>0</v>
      </c>
      <c r="S82">
        <f t="shared" si="10"/>
        <v>0</v>
      </c>
      <c r="T82">
        <f t="shared" si="11"/>
        <v>1</v>
      </c>
      <c r="U82">
        <v>60881.01</v>
      </c>
      <c r="V82">
        <v>5410</v>
      </c>
      <c r="W82">
        <v>83.9</v>
      </c>
    </row>
    <row r="83" spans="1:23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1</v>
      </c>
      <c r="R83">
        <f t="shared" si="9"/>
        <v>0</v>
      </c>
      <c r="S83">
        <f t="shared" si="10"/>
        <v>0</v>
      </c>
      <c r="T83">
        <f t="shared" si="11"/>
        <v>1</v>
      </c>
      <c r="U83">
        <v>60628.38</v>
      </c>
      <c r="V83">
        <v>4451</v>
      </c>
      <c r="W83">
        <v>89.6</v>
      </c>
    </row>
    <row r="84" spans="1:23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1</v>
      </c>
      <c r="R84">
        <f t="shared" si="9"/>
        <v>0</v>
      </c>
      <c r="S84">
        <f t="shared" si="10"/>
        <v>0</v>
      </c>
      <c r="T84">
        <f t="shared" si="11"/>
        <v>1</v>
      </c>
      <c r="U84">
        <v>72731.14</v>
      </c>
      <c r="V84">
        <v>4644</v>
      </c>
      <c r="W84">
        <v>87.1</v>
      </c>
    </row>
    <row r="85" spans="1:23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1</v>
      </c>
      <c r="R85">
        <f t="shared" si="9"/>
        <v>0</v>
      </c>
      <c r="S85">
        <f t="shared" si="10"/>
        <v>0</v>
      </c>
      <c r="T85">
        <f t="shared" si="11"/>
        <v>1</v>
      </c>
      <c r="U85">
        <v>36475.71</v>
      </c>
      <c r="V85">
        <v>3559</v>
      </c>
      <c r="W85">
        <v>83.6</v>
      </c>
    </row>
    <row r="86" spans="1:23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1</v>
      </c>
      <c r="R86">
        <f t="shared" si="9"/>
        <v>1</v>
      </c>
      <c r="S86">
        <f t="shared" si="10"/>
        <v>0</v>
      </c>
      <c r="T86">
        <f t="shared" si="11"/>
        <v>0</v>
      </c>
      <c r="U86">
        <v>55388.11</v>
      </c>
      <c r="V86">
        <v>3091</v>
      </c>
      <c r="W86">
        <v>85.4</v>
      </c>
    </row>
    <row r="87" spans="1:23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1</v>
      </c>
      <c r="R87">
        <f t="shared" si="9"/>
        <v>1</v>
      </c>
      <c r="S87">
        <f t="shared" si="10"/>
        <v>0</v>
      </c>
      <c r="T87">
        <f t="shared" si="11"/>
        <v>0</v>
      </c>
      <c r="U87">
        <v>88443.77</v>
      </c>
      <c r="V87">
        <v>4004</v>
      </c>
      <c r="W87">
        <v>91.9</v>
      </c>
    </row>
    <row r="88" spans="1:23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1</v>
      </c>
      <c r="R88">
        <f t="shared" si="9"/>
        <v>1</v>
      </c>
      <c r="S88">
        <f t="shared" si="10"/>
        <v>0</v>
      </c>
      <c r="T88">
        <f t="shared" si="11"/>
        <v>0</v>
      </c>
      <c r="U88">
        <v>78231.91</v>
      </c>
      <c r="V88">
        <v>3788</v>
      </c>
      <c r="W88">
        <v>88.5</v>
      </c>
    </row>
    <row r="89" spans="1:23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1</v>
      </c>
      <c r="R89">
        <f t="shared" si="9"/>
        <v>1</v>
      </c>
      <c r="S89">
        <f t="shared" si="10"/>
        <v>0</v>
      </c>
      <c r="T89">
        <f t="shared" si="11"/>
        <v>0</v>
      </c>
      <c r="U89">
        <v>18996.32</v>
      </c>
      <c r="V89">
        <v>1260</v>
      </c>
      <c r="W89">
        <v>86.4</v>
      </c>
    </row>
    <row r="90" spans="1:23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0</v>
      </c>
      <c r="T90">
        <f t="shared" si="11"/>
        <v>1</v>
      </c>
      <c r="U90">
        <v>50517.94</v>
      </c>
      <c r="V90">
        <v>7024</v>
      </c>
      <c r="W90">
        <v>79.2</v>
      </c>
    </row>
    <row r="91" spans="1:23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0</v>
      </c>
      <c r="T91">
        <f t="shared" si="11"/>
        <v>1</v>
      </c>
      <c r="U91">
        <v>141540.29</v>
      </c>
      <c r="V91">
        <v>5400</v>
      </c>
      <c r="W91">
        <v>87</v>
      </c>
    </row>
    <row r="92" spans="1:23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0</v>
      </c>
      <c r="T92">
        <f t="shared" si="11"/>
        <v>1</v>
      </c>
      <c r="U92">
        <v>82116.19</v>
      </c>
      <c r="V92">
        <v>5988</v>
      </c>
      <c r="W92">
        <v>91.8</v>
      </c>
    </row>
    <row r="93" spans="1:23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0</v>
      </c>
      <c r="T93">
        <f t="shared" si="11"/>
        <v>1</v>
      </c>
      <c r="U93">
        <v>31207.51</v>
      </c>
      <c r="V93">
        <v>3701</v>
      </c>
      <c r="W93">
        <v>84.7</v>
      </c>
    </row>
    <row r="94" spans="1:23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1</v>
      </c>
      <c r="R94">
        <f t="shared" si="9"/>
        <v>0</v>
      </c>
      <c r="S94">
        <f t="shared" si="10"/>
        <v>0</v>
      </c>
      <c r="T94">
        <f t="shared" si="11"/>
        <v>0</v>
      </c>
      <c r="U94">
        <v>38966.589999999997</v>
      </c>
      <c r="V94">
        <v>4509</v>
      </c>
      <c r="W94">
        <v>91.1</v>
      </c>
    </row>
    <row r="95" spans="1:23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1</v>
      </c>
      <c r="R95">
        <f t="shared" si="9"/>
        <v>0</v>
      </c>
      <c r="S95">
        <f t="shared" si="10"/>
        <v>0</v>
      </c>
      <c r="T95">
        <f t="shared" si="11"/>
        <v>0</v>
      </c>
      <c r="U95">
        <v>67439.3</v>
      </c>
      <c r="V95">
        <v>6477</v>
      </c>
      <c r="W95">
        <v>90.9</v>
      </c>
    </row>
    <row r="96" spans="1:23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1</v>
      </c>
      <c r="R96">
        <f t="shared" si="9"/>
        <v>0</v>
      </c>
      <c r="S96">
        <f t="shared" si="10"/>
        <v>0</v>
      </c>
      <c r="T96">
        <f t="shared" si="11"/>
        <v>0</v>
      </c>
      <c r="U96">
        <v>86421.88</v>
      </c>
      <c r="V96">
        <v>7970</v>
      </c>
      <c r="W96">
        <v>91.3</v>
      </c>
    </row>
    <row r="97" spans="1:23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1</v>
      </c>
      <c r="R97">
        <f t="shared" si="9"/>
        <v>0</v>
      </c>
      <c r="S97">
        <f t="shared" si="10"/>
        <v>0</v>
      </c>
      <c r="T97">
        <f t="shared" si="11"/>
        <v>0</v>
      </c>
      <c r="U97">
        <v>9534.65</v>
      </c>
      <c r="V97">
        <v>6057</v>
      </c>
      <c r="W97">
        <v>94.1</v>
      </c>
    </row>
    <row r="98" spans="1:23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1</v>
      </c>
      <c r="R98">
        <f t="shared" si="9"/>
        <v>0</v>
      </c>
      <c r="S98">
        <f t="shared" si="10"/>
        <v>0</v>
      </c>
      <c r="T98">
        <f t="shared" si="11"/>
        <v>1</v>
      </c>
      <c r="U98">
        <v>61132.07</v>
      </c>
      <c r="V98">
        <v>6394</v>
      </c>
      <c r="W98">
        <v>91</v>
      </c>
    </row>
    <row r="99" spans="1:23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1</v>
      </c>
      <c r="R99">
        <f t="shared" si="9"/>
        <v>0</v>
      </c>
      <c r="S99">
        <f t="shared" si="10"/>
        <v>0</v>
      </c>
      <c r="T99">
        <f t="shared" si="11"/>
        <v>1</v>
      </c>
      <c r="U99">
        <v>78839.39</v>
      </c>
      <c r="V99">
        <v>5150</v>
      </c>
      <c r="W99">
        <v>85.8</v>
      </c>
    </row>
    <row r="100" spans="1:23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1</v>
      </c>
      <c r="R100">
        <f t="shared" si="9"/>
        <v>0</v>
      </c>
      <c r="S100">
        <f t="shared" si="10"/>
        <v>0</v>
      </c>
      <c r="T100">
        <f t="shared" si="11"/>
        <v>1</v>
      </c>
      <c r="U100">
        <v>38752.800000000003</v>
      </c>
      <c r="V100">
        <v>4712</v>
      </c>
      <c r="W100">
        <v>89.7</v>
      </c>
    </row>
    <row r="101" spans="1:23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1</v>
      </c>
      <c r="R101">
        <f t="shared" si="9"/>
        <v>0</v>
      </c>
      <c r="S101">
        <f t="shared" si="10"/>
        <v>0</v>
      </c>
      <c r="T101">
        <f t="shared" si="11"/>
        <v>1</v>
      </c>
      <c r="U101">
        <v>55101.1</v>
      </c>
      <c r="V101">
        <v>5281</v>
      </c>
      <c r="W101">
        <v>91</v>
      </c>
    </row>
    <row r="102" spans="1:23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6"/>
        <v>0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1</v>
      </c>
      <c r="U102">
        <v>53084.76</v>
      </c>
      <c r="V102">
        <v>3642</v>
      </c>
      <c r="W102">
        <v>91.4</v>
      </c>
    </row>
    <row r="103" spans="1:23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6"/>
        <v>0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1</v>
      </c>
      <c r="U103">
        <v>63101.59</v>
      </c>
      <c r="V103">
        <v>4373</v>
      </c>
      <c r="W103">
        <v>90.4</v>
      </c>
    </row>
    <row r="104" spans="1:23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6"/>
        <v>0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1</v>
      </c>
      <c r="U104">
        <v>90084.4</v>
      </c>
      <c r="V104">
        <v>6832</v>
      </c>
      <c r="W104">
        <v>80.5</v>
      </c>
    </row>
    <row r="105" spans="1:23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6"/>
        <v>0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1</v>
      </c>
      <c r="U105">
        <v>32266.639999999999</v>
      </c>
      <c r="V105">
        <v>2414</v>
      </c>
      <c r="W105">
        <v>92.1</v>
      </c>
    </row>
    <row r="106" spans="1:23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1</v>
      </c>
      <c r="R106">
        <f t="shared" si="9"/>
        <v>1</v>
      </c>
      <c r="S106">
        <f t="shared" si="10"/>
        <v>0</v>
      </c>
      <c r="T106">
        <f t="shared" si="11"/>
        <v>0</v>
      </c>
      <c r="U106">
        <v>57919.07</v>
      </c>
      <c r="V106">
        <v>7374</v>
      </c>
      <c r="W106">
        <v>82.3</v>
      </c>
    </row>
    <row r="107" spans="1:23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1</v>
      </c>
      <c r="R107">
        <f t="shared" si="9"/>
        <v>1</v>
      </c>
      <c r="S107">
        <f t="shared" si="10"/>
        <v>0</v>
      </c>
      <c r="T107">
        <f t="shared" si="11"/>
        <v>0</v>
      </c>
      <c r="U107">
        <v>74679.350000000006</v>
      </c>
      <c r="V107">
        <v>8739</v>
      </c>
      <c r="W107">
        <v>91.8</v>
      </c>
    </row>
    <row r="108" spans="1:23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1</v>
      </c>
      <c r="R108">
        <f t="shared" si="9"/>
        <v>1</v>
      </c>
      <c r="S108">
        <f t="shared" si="10"/>
        <v>0</v>
      </c>
      <c r="T108">
        <f t="shared" si="11"/>
        <v>0</v>
      </c>
      <c r="U108">
        <v>64294.23</v>
      </c>
      <c r="V108">
        <v>6992</v>
      </c>
      <c r="W108">
        <v>94.1</v>
      </c>
    </row>
    <row r="109" spans="1:23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1</v>
      </c>
      <c r="R109">
        <f t="shared" si="9"/>
        <v>1</v>
      </c>
      <c r="S109">
        <f t="shared" si="10"/>
        <v>0</v>
      </c>
      <c r="T109">
        <f t="shared" si="11"/>
        <v>0</v>
      </c>
      <c r="U109">
        <v>31042.03</v>
      </c>
      <c r="V109">
        <v>7107</v>
      </c>
      <c r="W109">
        <v>87</v>
      </c>
    </row>
    <row r="110" spans="1:23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6"/>
        <v>0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1</v>
      </c>
      <c r="U110">
        <v>75265.02</v>
      </c>
      <c r="V110">
        <v>6975</v>
      </c>
      <c r="W110">
        <v>73.8</v>
      </c>
    </row>
    <row r="111" spans="1:23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6"/>
        <v>0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1</v>
      </c>
      <c r="U111">
        <v>69411.7</v>
      </c>
      <c r="V111">
        <v>5493</v>
      </c>
      <c r="W111">
        <v>86.5</v>
      </c>
    </row>
    <row r="112" spans="1:23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6"/>
        <v>0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1</v>
      </c>
      <c r="U112">
        <v>51056.15</v>
      </c>
      <c r="V112">
        <v>5686</v>
      </c>
      <c r="W112">
        <v>89.9</v>
      </c>
    </row>
    <row r="113" spans="1:23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6"/>
        <v>0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1</v>
      </c>
      <c r="U113">
        <v>52758.01</v>
      </c>
      <c r="V113">
        <v>4063</v>
      </c>
      <c r="W113">
        <v>91.7</v>
      </c>
    </row>
    <row r="114" spans="1:23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1</v>
      </c>
      <c r="R114">
        <f t="shared" si="9"/>
        <v>0</v>
      </c>
      <c r="S114">
        <f t="shared" si="10"/>
        <v>0</v>
      </c>
      <c r="T114">
        <f t="shared" si="11"/>
        <v>1</v>
      </c>
      <c r="U114">
        <v>61426.04</v>
      </c>
      <c r="V114">
        <v>8966</v>
      </c>
      <c r="W114">
        <v>76.400000000000006</v>
      </c>
    </row>
    <row r="115" spans="1:23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1</v>
      </c>
      <c r="R115">
        <f t="shared" si="9"/>
        <v>0</v>
      </c>
      <c r="S115">
        <f t="shared" si="10"/>
        <v>0</v>
      </c>
      <c r="T115">
        <f t="shared" si="11"/>
        <v>1</v>
      </c>
      <c r="U115">
        <v>80176.34</v>
      </c>
      <c r="V115">
        <v>9489</v>
      </c>
      <c r="W115">
        <v>94.3</v>
      </c>
    </row>
    <row r="116" spans="1:23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1</v>
      </c>
      <c r="R116">
        <f t="shared" si="9"/>
        <v>0</v>
      </c>
      <c r="S116">
        <f t="shared" si="10"/>
        <v>0</v>
      </c>
      <c r="T116">
        <f t="shared" si="11"/>
        <v>1</v>
      </c>
      <c r="U116">
        <v>33605.18</v>
      </c>
      <c r="V116">
        <v>9225</v>
      </c>
      <c r="W116">
        <v>88.4</v>
      </c>
    </row>
    <row r="117" spans="1:23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1</v>
      </c>
      <c r="R117">
        <f t="shared" si="9"/>
        <v>0</v>
      </c>
      <c r="S117">
        <f t="shared" si="10"/>
        <v>0</v>
      </c>
      <c r="T117">
        <f t="shared" si="11"/>
        <v>1</v>
      </c>
      <c r="U117">
        <v>25990.54</v>
      </c>
      <c r="V117">
        <v>9249</v>
      </c>
      <c r="W117">
        <v>92.5</v>
      </c>
    </row>
    <row r="118" spans="1:23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1</v>
      </c>
      <c r="R118">
        <f t="shared" si="9"/>
        <v>0</v>
      </c>
      <c r="S118">
        <f t="shared" si="10"/>
        <v>0</v>
      </c>
      <c r="T118">
        <f t="shared" si="11"/>
        <v>0</v>
      </c>
      <c r="U118">
        <v>43685.14</v>
      </c>
      <c r="V118">
        <v>7821</v>
      </c>
      <c r="W118">
        <v>91</v>
      </c>
    </row>
    <row r="119" spans="1:23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1</v>
      </c>
      <c r="R119">
        <f t="shared" si="9"/>
        <v>0</v>
      </c>
      <c r="S119">
        <f t="shared" si="10"/>
        <v>0</v>
      </c>
      <c r="T119">
        <f t="shared" si="11"/>
        <v>0</v>
      </c>
      <c r="U119">
        <v>57360.01</v>
      </c>
      <c r="V119">
        <v>8434</v>
      </c>
      <c r="W119">
        <v>84.1</v>
      </c>
    </row>
    <row r="120" spans="1:23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1</v>
      </c>
      <c r="R120">
        <f t="shared" si="9"/>
        <v>0</v>
      </c>
      <c r="S120">
        <f t="shared" si="10"/>
        <v>0</v>
      </c>
      <c r="T120">
        <f t="shared" si="11"/>
        <v>0</v>
      </c>
      <c r="U120">
        <v>42415.47</v>
      </c>
      <c r="V120">
        <v>8512</v>
      </c>
      <c r="W120">
        <v>96.8</v>
      </c>
    </row>
    <row r="121" spans="1:23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1</v>
      </c>
      <c r="R121">
        <f t="shared" si="9"/>
        <v>0</v>
      </c>
      <c r="S121">
        <f t="shared" si="10"/>
        <v>0</v>
      </c>
      <c r="T121">
        <f t="shared" si="11"/>
        <v>0</v>
      </c>
      <c r="U121">
        <v>54968.98</v>
      </c>
      <c r="V121">
        <v>7816</v>
      </c>
      <c r="W121">
        <v>95.7</v>
      </c>
    </row>
    <row r="122" spans="1:23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1</v>
      </c>
      <c r="S122">
        <f t="shared" si="10"/>
        <v>0</v>
      </c>
      <c r="T122">
        <f t="shared" si="11"/>
        <v>0</v>
      </c>
      <c r="U122">
        <v>43896.13</v>
      </c>
      <c r="V122">
        <v>3853</v>
      </c>
      <c r="W122">
        <v>83</v>
      </c>
    </row>
    <row r="123" spans="1:23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1</v>
      </c>
      <c r="S123">
        <f t="shared" si="10"/>
        <v>0</v>
      </c>
      <c r="T123">
        <f t="shared" si="11"/>
        <v>0</v>
      </c>
      <c r="U123">
        <v>83044.17</v>
      </c>
      <c r="V123">
        <v>3694</v>
      </c>
      <c r="W123">
        <v>89.4</v>
      </c>
    </row>
    <row r="124" spans="1:23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1</v>
      </c>
      <c r="S124">
        <f t="shared" si="10"/>
        <v>0</v>
      </c>
      <c r="T124">
        <f t="shared" si="11"/>
        <v>0</v>
      </c>
      <c r="U124">
        <v>48396.13</v>
      </c>
      <c r="V124">
        <v>4423</v>
      </c>
      <c r="W124">
        <v>85.7</v>
      </c>
    </row>
    <row r="125" spans="1:23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1</v>
      </c>
      <c r="S125">
        <f t="shared" si="10"/>
        <v>0</v>
      </c>
      <c r="T125">
        <f t="shared" si="11"/>
        <v>0</v>
      </c>
      <c r="U125">
        <v>19063.48</v>
      </c>
      <c r="V125">
        <v>1906</v>
      </c>
      <c r="W125">
        <v>97.8</v>
      </c>
    </row>
    <row r="126" spans="1:23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1</v>
      </c>
      <c r="S126">
        <f t="shared" si="10"/>
        <v>0</v>
      </c>
      <c r="T126">
        <f t="shared" si="11"/>
        <v>0</v>
      </c>
      <c r="U126">
        <v>61541.21</v>
      </c>
      <c r="V126">
        <v>10396</v>
      </c>
      <c r="W126">
        <v>88.1</v>
      </c>
    </row>
    <row r="127" spans="1:23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1</v>
      </c>
      <c r="S127">
        <f t="shared" si="10"/>
        <v>0</v>
      </c>
      <c r="T127">
        <f t="shared" si="11"/>
        <v>0</v>
      </c>
      <c r="U127">
        <v>44747</v>
      </c>
      <c r="V127">
        <v>11076</v>
      </c>
      <c r="W127">
        <v>98.3</v>
      </c>
    </row>
    <row r="128" spans="1:23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1</v>
      </c>
      <c r="S128">
        <f t="shared" si="10"/>
        <v>0</v>
      </c>
      <c r="T128">
        <f t="shared" si="11"/>
        <v>0</v>
      </c>
      <c r="U128">
        <v>56517.9</v>
      </c>
      <c r="V128">
        <v>9574</v>
      </c>
      <c r="W128">
        <v>88.2</v>
      </c>
    </row>
    <row r="129" spans="1:23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1</v>
      </c>
      <c r="S129">
        <f t="shared" si="10"/>
        <v>0</v>
      </c>
      <c r="T129">
        <f t="shared" si="11"/>
        <v>0</v>
      </c>
      <c r="U129">
        <v>37828.5</v>
      </c>
      <c r="V129">
        <v>8221</v>
      </c>
      <c r="W129">
        <v>81.5</v>
      </c>
    </row>
    <row r="130" spans="1:23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6"/>
        <v>0</v>
      </c>
      <c r="P130">
        <f t="shared" si="7"/>
        <v>0</v>
      </c>
      <c r="Q130">
        <f t="shared" si="8"/>
        <v>0</v>
      </c>
      <c r="R130">
        <f t="shared" si="9"/>
        <v>1</v>
      </c>
      <c r="S130">
        <f t="shared" si="10"/>
        <v>0</v>
      </c>
      <c r="T130">
        <f t="shared" si="11"/>
        <v>0</v>
      </c>
      <c r="U130">
        <v>66250.53</v>
      </c>
      <c r="V130">
        <v>10618</v>
      </c>
      <c r="W130">
        <v>88.3</v>
      </c>
    </row>
    <row r="131" spans="1:23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2">IF($C131="North",1,0)</f>
        <v>0</v>
      </c>
      <c r="P131">
        <f t="shared" ref="P131:P194" si="13">IF($C131="South",1,0)</f>
        <v>0</v>
      </c>
      <c r="Q131">
        <f t="shared" ref="Q131:Q194" si="14">IF($C131="West",1,0)</f>
        <v>0</v>
      </c>
      <c r="R131">
        <f t="shared" ref="R131:R194" si="15">IF($D131="High Street",1,0)</f>
        <v>1</v>
      </c>
      <c r="S131">
        <f t="shared" ref="S131:S194" si="16">IF($D131="Airport",1,0)</f>
        <v>0</v>
      </c>
      <c r="T131">
        <f t="shared" ref="T131:T194" si="17">IF($D131="Mall",1,0)</f>
        <v>0</v>
      </c>
      <c r="U131">
        <v>68410.929999999993</v>
      </c>
      <c r="V131">
        <v>10596</v>
      </c>
      <c r="W131">
        <v>81.2</v>
      </c>
    </row>
    <row r="132" spans="1:23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2"/>
        <v>0</v>
      </c>
      <c r="P132">
        <f t="shared" si="13"/>
        <v>0</v>
      </c>
      <c r="Q132">
        <f t="shared" si="14"/>
        <v>0</v>
      </c>
      <c r="R132">
        <f t="shared" si="15"/>
        <v>1</v>
      </c>
      <c r="S132">
        <f t="shared" si="16"/>
        <v>0</v>
      </c>
      <c r="T132">
        <f t="shared" si="17"/>
        <v>0</v>
      </c>
      <c r="U132">
        <v>50735.63</v>
      </c>
      <c r="V132">
        <v>9619</v>
      </c>
      <c r="W132">
        <v>93.8</v>
      </c>
    </row>
    <row r="133" spans="1:23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2"/>
        <v>0</v>
      </c>
      <c r="P133">
        <f t="shared" si="13"/>
        <v>0</v>
      </c>
      <c r="Q133">
        <f t="shared" si="14"/>
        <v>0</v>
      </c>
      <c r="R133">
        <f t="shared" si="15"/>
        <v>1</v>
      </c>
      <c r="S133">
        <f t="shared" si="16"/>
        <v>0</v>
      </c>
      <c r="T133">
        <f t="shared" si="17"/>
        <v>0</v>
      </c>
      <c r="U133">
        <v>66455.8</v>
      </c>
      <c r="V133">
        <v>10836</v>
      </c>
      <c r="W133">
        <v>85</v>
      </c>
    </row>
    <row r="134" spans="1:23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1</v>
      </c>
      <c r="S134">
        <f t="shared" si="16"/>
        <v>0</v>
      </c>
      <c r="T134">
        <f t="shared" si="17"/>
        <v>0</v>
      </c>
      <c r="U134">
        <v>70276.28</v>
      </c>
      <c r="V134">
        <v>3043</v>
      </c>
      <c r="W134">
        <v>87.9</v>
      </c>
    </row>
    <row r="135" spans="1:23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1</v>
      </c>
      <c r="S135">
        <f t="shared" si="16"/>
        <v>0</v>
      </c>
      <c r="T135">
        <f t="shared" si="17"/>
        <v>0</v>
      </c>
      <c r="U135">
        <v>22071.64</v>
      </c>
      <c r="V135">
        <v>1814</v>
      </c>
      <c r="W135">
        <v>81.099999999999994</v>
      </c>
    </row>
    <row r="136" spans="1:23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1</v>
      </c>
      <c r="S136">
        <f t="shared" si="16"/>
        <v>0</v>
      </c>
      <c r="T136">
        <f t="shared" si="17"/>
        <v>0</v>
      </c>
      <c r="U136">
        <v>52285.45</v>
      </c>
      <c r="V136">
        <v>3618</v>
      </c>
      <c r="W136">
        <v>95.6</v>
      </c>
    </row>
    <row r="137" spans="1:23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1</v>
      </c>
      <c r="S137">
        <f t="shared" si="16"/>
        <v>0</v>
      </c>
      <c r="T137">
        <f t="shared" si="17"/>
        <v>0</v>
      </c>
      <c r="U137">
        <v>70366.759999999995</v>
      </c>
      <c r="V137">
        <v>1963</v>
      </c>
      <c r="W137">
        <v>89.8</v>
      </c>
    </row>
    <row r="138" spans="1:23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0</v>
      </c>
      <c r="S138">
        <f t="shared" si="16"/>
        <v>0</v>
      </c>
      <c r="T138">
        <f t="shared" si="17"/>
        <v>0</v>
      </c>
      <c r="U138">
        <v>71320.66</v>
      </c>
      <c r="V138">
        <v>7888</v>
      </c>
      <c r="W138">
        <v>78.099999999999994</v>
      </c>
    </row>
    <row r="139" spans="1:23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0</v>
      </c>
      <c r="S139">
        <f t="shared" si="16"/>
        <v>0</v>
      </c>
      <c r="T139">
        <f t="shared" si="17"/>
        <v>0</v>
      </c>
      <c r="U139">
        <v>75109.67</v>
      </c>
      <c r="V139">
        <v>6244</v>
      </c>
      <c r="W139">
        <v>96.3</v>
      </c>
    </row>
    <row r="140" spans="1:23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0</v>
      </c>
      <c r="S140">
        <f t="shared" si="16"/>
        <v>0</v>
      </c>
      <c r="T140">
        <f t="shared" si="17"/>
        <v>0</v>
      </c>
      <c r="U140">
        <v>69779</v>
      </c>
      <c r="V140">
        <v>6544</v>
      </c>
      <c r="W140">
        <v>90.2</v>
      </c>
    </row>
    <row r="141" spans="1:23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0</v>
      </c>
      <c r="S141">
        <f t="shared" si="16"/>
        <v>0</v>
      </c>
      <c r="T141">
        <f t="shared" si="17"/>
        <v>0</v>
      </c>
      <c r="U141">
        <v>44211.95</v>
      </c>
      <c r="V141">
        <v>5465</v>
      </c>
      <c r="W141">
        <v>90</v>
      </c>
    </row>
    <row r="142" spans="1:23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1</v>
      </c>
      <c r="R142">
        <f t="shared" si="15"/>
        <v>1</v>
      </c>
      <c r="S142">
        <f t="shared" si="16"/>
        <v>0</v>
      </c>
      <c r="T142">
        <f t="shared" si="17"/>
        <v>0</v>
      </c>
      <c r="U142">
        <v>51430.31</v>
      </c>
      <c r="V142">
        <v>6427</v>
      </c>
      <c r="W142">
        <v>88.8</v>
      </c>
    </row>
    <row r="143" spans="1:23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1</v>
      </c>
      <c r="R143">
        <f t="shared" si="15"/>
        <v>1</v>
      </c>
      <c r="S143">
        <f t="shared" si="16"/>
        <v>0</v>
      </c>
      <c r="T143">
        <f t="shared" si="17"/>
        <v>0</v>
      </c>
      <c r="U143">
        <v>45706.49</v>
      </c>
      <c r="V143">
        <v>6704</v>
      </c>
      <c r="W143">
        <v>94.2</v>
      </c>
    </row>
    <row r="144" spans="1:23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1</v>
      </c>
      <c r="R144">
        <f t="shared" si="15"/>
        <v>1</v>
      </c>
      <c r="S144">
        <f t="shared" si="16"/>
        <v>0</v>
      </c>
      <c r="T144">
        <f t="shared" si="17"/>
        <v>0</v>
      </c>
      <c r="U144">
        <v>44034.6</v>
      </c>
      <c r="V144">
        <v>5645</v>
      </c>
      <c r="W144">
        <v>88.5</v>
      </c>
    </row>
    <row r="145" spans="1:23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1</v>
      </c>
      <c r="R145">
        <f t="shared" si="15"/>
        <v>1</v>
      </c>
      <c r="S145">
        <f t="shared" si="16"/>
        <v>0</v>
      </c>
      <c r="T145">
        <f t="shared" si="17"/>
        <v>0</v>
      </c>
      <c r="U145">
        <v>50198.12</v>
      </c>
      <c r="V145">
        <v>6089</v>
      </c>
      <c r="W145">
        <v>94</v>
      </c>
    </row>
    <row r="146" spans="1:23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0</v>
      </c>
      <c r="U146">
        <v>70488.2</v>
      </c>
      <c r="V146">
        <v>4312</v>
      </c>
      <c r="W146">
        <v>90.2</v>
      </c>
    </row>
    <row r="147" spans="1:23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0</v>
      </c>
      <c r="S147">
        <f t="shared" si="16"/>
        <v>0</v>
      </c>
      <c r="T147">
        <f t="shared" si="17"/>
        <v>0</v>
      </c>
      <c r="U147">
        <v>50909.27</v>
      </c>
      <c r="V147">
        <v>3152</v>
      </c>
      <c r="W147">
        <v>93.7</v>
      </c>
    </row>
    <row r="148" spans="1:23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0</v>
      </c>
      <c r="S148">
        <f t="shared" si="16"/>
        <v>0</v>
      </c>
      <c r="T148">
        <f t="shared" si="17"/>
        <v>0</v>
      </c>
      <c r="U148">
        <v>53351.7</v>
      </c>
      <c r="V148">
        <v>4259</v>
      </c>
      <c r="W148">
        <v>93.7</v>
      </c>
    </row>
    <row r="149" spans="1:23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0</v>
      </c>
      <c r="S149">
        <f t="shared" si="16"/>
        <v>0</v>
      </c>
      <c r="T149">
        <f t="shared" si="17"/>
        <v>0</v>
      </c>
      <c r="U149">
        <v>60322.400000000001</v>
      </c>
      <c r="V149">
        <v>3350</v>
      </c>
      <c r="W149">
        <v>89.4</v>
      </c>
    </row>
    <row r="150" spans="1:23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0</v>
      </c>
      <c r="T150">
        <f t="shared" si="17"/>
        <v>1</v>
      </c>
      <c r="U150">
        <v>51575.68</v>
      </c>
      <c r="V150">
        <v>5329</v>
      </c>
      <c r="W150">
        <v>88.1</v>
      </c>
    </row>
    <row r="151" spans="1:23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0</v>
      </c>
      <c r="T151">
        <f t="shared" si="17"/>
        <v>1</v>
      </c>
      <c r="U151">
        <v>43319.94</v>
      </c>
      <c r="V151">
        <v>6551</v>
      </c>
      <c r="W151">
        <v>99</v>
      </c>
    </row>
    <row r="152" spans="1:23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0</v>
      </c>
      <c r="T152">
        <f t="shared" si="17"/>
        <v>1</v>
      </c>
      <c r="U152">
        <v>47093.55</v>
      </c>
      <c r="V152">
        <v>5550</v>
      </c>
      <c r="W152">
        <v>95</v>
      </c>
    </row>
    <row r="153" spans="1:23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0</v>
      </c>
      <c r="T153">
        <f t="shared" si="17"/>
        <v>1</v>
      </c>
      <c r="U153">
        <v>71855.09</v>
      </c>
      <c r="V153">
        <v>5911</v>
      </c>
      <c r="W153">
        <v>94.3</v>
      </c>
    </row>
    <row r="154" spans="1:23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2"/>
        <v>0</v>
      </c>
      <c r="P154">
        <f t="shared" si="13"/>
        <v>0</v>
      </c>
      <c r="Q154">
        <f t="shared" si="14"/>
        <v>0</v>
      </c>
      <c r="R154">
        <f t="shared" si="15"/>
        <v>1</v>
      </c>
      <c r="S154">
        <f t="shared" si="16"/>
        <v>0</v>
      </c>
      <c r="T154">
        <f t="shared" si="17"/>
        <v>0</v>
      </c>
      <c r="U154">
        <v>75645.23</v>
      </c>
      <c r="V154">
        <v>9674</v>
      </c>
      <c r="W154">
        <v>87.4</v>
      </c>
    </row>
    <row r="155" spans="1:23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2"/>
        <v>0</v>
      </c>
      <c r="P155">
        <f t="shared" si="13"/>
        <v>0</v>
      </c>
      <c r="Q155">
        <f t="shared" si="14"/>
        <v>0</v>
      </c>
      <c r="R155">
        <f t="shared" si="15"/>
        <v>1</v>
      </c>
      <c r="S155">
        <f t="shared" si="16"/>
        <v>0</v>
      </c>
      <c r="T155">
        <f t="shared" si="17"/>
        <v>0</v>
      </c>
      <c r="U155">
        <v>64374.75</v>
      </c>
      <c r="V155">
        <v>6740</v>
      </c>
      <c r="W155">
        <v>87</v>
      </c>
    </row>
    <row r="156" spans="1:23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2"/>
        <v>0</v>
      </c>
      <c r="P156">
        <f t="shared" si="13"/>
        <v>0</v>
      </c>
      <c r="Q156">
        <f t="shared" si="14"/>
        <v>0</v>
      </c>
      <c r="R156">
        <f t="shared" si="15"/>
        <v>1</v>
      </c>
      <c r="S156">
        <f t="shared" si="16"/>
        <v>0</v>
      </c>
      <c r="T156">
        <f t="shared" si="17"/>
        <v>0</v>
      </c>
      <c r="U156">
        <v>61433.84</v>
      </c>
      <c r="V156">
        <v>7745</v>
      </c>
      <c r="W156">
        <v>90.5</v>
      </c>
    </row>
    <row r="157" spans="1:23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2"/>
        <v>0</v>
      </c>
      <c r="P157">
        <f t="shared" si="13"/>
        <v>0</v>
      </c>
      <c r="Q157">
        <f t="shared" si="14"/>
        <v>0</v>
      </c>
      <c r="R157">
        <f t="shared" si="15"/>
        <v>1</v>
      </c>
      <c r="S157">
        <f t="shared" si="16"/>
        <v>0</v>
      </c>
      <c r="T157">
        <f t="shared" si="17"/>
        <v>0</v>
      </c>
      <c r="U157">
        <v>42698.14</v>
      </c>
      <c r="V157">
        <v>7693</v>
      </c>
      <c r="W157">
        <v>90.1</v>
      </c>
    </row>
    <row r="158" spans="1:23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0</v>
      </c>
      <c r="T158">
        <f t="shared" si="17"/>
        <v>1</v>
      </c>
      <c r="U158">
        <v>86883.31</v>
      </c>
      <c r="V158">
        <v>6424</v>
      </c>
      <c r="W158">
        <v>85.2</v>
      </c>
    </row>
    <row r="159" spans="1:23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1</v>
      </c>
      <c r="U159">
        <v>41863.08</v>
      </c>
      <c r="V159">
        <v>5400</v>
      </c>
      <c r="W159">
        <v>91.6</v>
      </c>
    </row>
    <row r="160" spans="1:23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0</v>
      </c>
      <c r="T160">
        <f t="shared" si="17"/>
        <v>1</v>
      </c>
      <c r="U160">
        <v>56918.16</v>
      </c>
      <c r="V160">
        <v>7015</v>
      </c>
      <c r="W160">
        <v>74.2</v>
      </c>
    </row>
    <row r="161" spans="1:23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0</v>
      </c>
      <c r="T161">
        <f t="shared" si="17"/>
        <v>1</v>
      </c>
      <c r="U161">
        <v>23254.57</v>
      </c>
      <c r="V161">
        <v>3847</v>
      </c>
      <c r="W161">
        <v>93</v>
      </c>
    </row>
    <row r="162" spans="1:23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1</v>
      </c>
      <c r="S162">
        <f t="shared" si="16"/>
        <v>0</v>
      </c>
      <c r="T162">
        <f t="shared" si="17"/>
        <v>0</v>
      </c>
      <c r="U162">
        <v>41443.410000000003</v>
      </c>
      <c r="V162">
        <v>7455</v>
      </c>
      <c r="W162">
        <v>90.1</v>
      </c>
    </row>
    <row r="163" spans="1:23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1</v>
      </c>
      <c r="S163">
        <f t="shared" si="16"/>
        <v>0</v>
      </c>
      <c r="T163">
        <f t="shared" si="17"/>
        <v>0</v>
      </c>
      <c r="U163">
        <v>48438.85</v>
      </c>
      <c r="V163">
        <v>6992</v>
      </c>
      <c r="W163">
        <v>91</v>
      </c>
    </row>
    <row r="164" spans="1:23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1</v>
      </c>
      <c r="S164">
        <f t="shared" si="16"/>
        <v>0</v>
      </c>
      <c r="T164">
        <f t="shared" si="17"/>
        <v>0</v>
      </c>
      <c r="U164">
        <v>57143.3</v>
      </c>
      <c r="V164">
        <v>8038</v>
      </c>
      <c r="W164">
        <v>72.599999999999994</v>
      </c>
    </row>
    <row r="165" spans="1:23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1</v>
      </c>
      <c r="S165">
        <f t="shared" si="16"/>
        <v>0</v>
      </c>
      <c r="T165">
        <f t="shared" si="17"/>
        <v>0</v>
      </c>
      <c r="U165">
        <v>66870.62</v>
      </c>
      <c r="V165">
        <v>6055</v>
      </c>
      <c r="W165">
        <v>93.8</v>
      </c>
    </row>
    <row r="166" spans="1:23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0</v>
      </c>
      <c r="T166">
        <f t="shared" si="17"/>
        <v>1</v>
      </c>
      <c r="U166">
        <v>72150.53</v>
      </c>
      <c r="V166">
        <v>9323</v>
      </c>
      <c r="W166">
        <v>82.9</v>
      </c>
    </row>
    <row r="167" spans="1:23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0</v>
      </c>
      <c r="T167">
        <f t="shared" si="17"/>
        <v>1</v>
      </c>
      <c r="U167">
        <v>35303.300000000003</v>
      </c>
      <c r="V167">
        <v>8789</v>
      </c>
      <c r="W167">
        <v>86.1</v>
      </c>
    </row>
    <row r="168" spans="1:23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0</v>
      </c>
      <c r="T168">
        <f t="shared" si="17"/>
        <v>1</v>
      </c>
      <c r="U168">
        <v>30301.86</v>
      </c>
      <c r="V168">
        <v>6939</v>
      </c>
      <c r="W168">
        <v>90.3</v>
      </c>
    </row>
    <row r="169" spans="1:23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0</v>
      </c>
      <c r="T169">
        <f t="shared" si="17"/>
        <v>1</v>
      </c>
      <c r="U169">
        <v>78432.14</v>
      </c>
      <c r="V169">
        <v>9440</v>
      </c>
      <c r="W169">
        <v>89.2</v>
      </c>
    </row>
    <row r="170" spans="1:23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2"/>
        <v>0</v>
      </c>
      <c r="P170">
        <f t="shared" si="13"/>
        <v>0</v>
      </c>
      <c r="Q170">
        <f t="shared" si="14"/>
        <v>0</v>
      </c>
      <c r="R170">
        <f t="shared" si="15"/>
        <v>0</v>
      </c>
      <c r="S170">
        <f t="shared" si="16"/>
        <v>0</v>
      </c>
      <c r="T170">
        <f t="shared" si="17"/>
        <v>0</v>
      </c>
      <c r="U170">
        <v>62059.18</v>
      </c>
      <c r="V170">
        <v>9374</v>
      </c>
      <c r="W170">
        <v>87.1</v>
      </c>
    </row>
    <row r="171" spans="1:23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2"/>
        <v>0</v>
      </c>
      <c r="P171">
        <f t="shared" si="13"/>
        <v>0</v>
      </c>
      <c r="Q171">
        <f t="shared" si="14"/>
        <v>0</v>
      </c>
      <c r="R171">
        <f t="shared" si="15"/>
        <v>0</v>
      </c>
      <c r="S171">
        <f t="shared" si="16"/>
        <v>0</v>
      </c>
      <c r="T171">
        <f t="shared" si="17"/>
        <v>0</v>
      </c>
      <c r="U171">
        <v>32834.480000000003</v>
      </c>
      <c r="V171">
        <v>7576</v>
      </c>
      <c r="W171">
        <v>84.1</v>
      </c>
    </row>
    <row r="172" spans="1:23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2"/>
        <v>0</v>
      </c>
      <c r="P172">
        <f t="shared" si="13"/>
        <v>0</v>
      </c>
      <c r="Q172">
        <f t="shared" si="14"/>
        <v>0</v>
      </c>
      <c r="R172">
        <f t="shared" si="15"/>
        <v>0</v>
      </c>
      <c r="S172">
        <f t="shared" si="16"/>
        <v>0</v>
      </c>
      <c r="T172">
        <f t="shared" si="17"/>
        <v>0</v>
      </c>
      <c r="U172">
        <v>50825.08</v>
      </c>
      <c r="V172">
        <v>8949</v>
      </c>
      <c r="W172">
        <v>84.7</v>
      </c>
    </row>
    <row r="173" spans="1:23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2"/>
        <v>0</v>
      </c>
      <c r="P173">
        <f t="shared" si="13"/>
        <v>0</v>
      </c>
      <c r="Q173">
        <f t="shared" si="14"/>
        <v>0</v>
      </c>
      <c r="R173">
        <f t="shared" si="15"/>
        <v>0</v>
      </c>
      <c r="S173">
        <f t="shared" si="16"/>
        <v>0</v>
      </c>
      <c r="T173">
        <f t="shared" si="17"/>
        <v>0</v>
      </c>
      <c r="U173">
        <v>36606.51</v>
      </c>
      <c r="V173">
        <v>7671</v>
      </c>
      <c r="W173">
        <v>89.8</v>
      </c>
    </row>
    <row r="174" spans="1:23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2"/>
        <v>0</v>
      </c>
      <c r="P174">
        <f t="shared" si="13"/>
        <v>0</v>
      </c>
      <c r="Q174">
        <f t="shared" si="14"/>
        <v>0</v>
      </c>
      <c r="R174">
        <f t="shared" si="15"/>
        <v>0</v>
      </c>
      <c r="S174">
        <f t="shared" si="16"/>
        <v>0</v>
      </c>
      <c r="T174">
        <f t="shared" si="17"/>
        <v>0</v>
      </c>
      <c r="U174">
        <v>65237.79</v>
      </c>
      <c r="V174">
        <v>8741</v>
      </c>
      <c r="W174">
        <v>94.4</v>
      </c>
    </row>
    <row r="175" spans="1:23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2"/>
        <v>0</v>
      </c>
      <c r="P175">
        <f t="shared" si="13"/>
        <v>0</v>
      </c>
      <c r="Q175">
        <f t="shared" si="14"/>
        <v>0</v>
      </c>
      <c r="R175">
        <f t="shared" si="15"/>
        <v>0</v>
      </c>
      <c r="S175">
        <f t="shared" si="16"/>
        <v>0</v>
      </c>
      <c r="T175">
        <f t="shared" si="17"/>
        <v>0</v>
      </c>
      <c r="U175">
        <v>43645.98</v>
      </c>
      <c r="V175">
        <v>9480</v>
      </c>
      <c r="W175">
        <v>89</v>
      </c>
    </row>
    <row r="176" spans="1:23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2"/>
        <v>0</v>
      </c>
      <c r="P176">
        <f t="shared" si="13"/>
        <v>0</v>
      </c>
      <c r="Q176">
        <f t="shared" si="14"/>
        <v>0</v>
      </c>
      <c r="R176">
        <f t="shared" si="15"/>
        <v>0</v>
      </c>
      <c r="S176">
        <f t="shared" si="16"/>
        <v>0</v>
      </c>
      <c r="T176">
        <f t="shared" si="17"/>
        <v>0</v>
      </c>
      <c r="U176">
        <v>68040.149999999994</v>
      </c>
      <c r="V176">
        <v>9826</v>
      </c>
      <c r="W176">
        <v>83.9</v>
      </c>
    </row>
    <row r="177" spans="1:23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2"/>
        <v>0</v>
      </c>
      <c r="P177">
        <f t="shared" si="13"/>
        <v>0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0</v>
      </c>
      <c r="U177">
        <v>63043.94</v>
      </c>
      <c r="V177">
        <v>10402</v>
      </c>
      <c r="W177">
        <v>93.9</v>
      </c>
    </row>
    <row r="178" spans="1:23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1</v>
      </c>
      <c r="R178">
        <f t="shared" si="15"/>
        <v>0</v>
      </c>
      <c r="S178">
        <f t="shared" si="16"/>
        <v>1</v>
      </c>
      <c r="T178">
        <f t="shared" si="17"/>
        <v>0</v>
      </c>
      <c r="U178">
        <v>67494.09</v>
      </c>
      <c r="V178">
        <v>12361</v>
      </c>
      <c r="W178">
        <v>76.599999999999994</v>
      </c>
    </row>
    <row r="179" spans="1:23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1</v>
      </c>
      <c r="R179">
        <f t="shared" si="15"/>
        <v>0</v>
      </c>
      <c r="S179">
        <f t="shared" si="16"/>
        <v>1</v>
      </c>
      <c r="T179">
        <f t="shared" si="17"/>
        <v>0</v>
      </c>
      <c r="U179">
        <v>29389.32</v>
      </c>
      <c r="V179">
        <v>7925</v>
      </c>
      <c r="W179">
        <v>90.9</v>
      </c>
    </row>
    <row r="180" spans="1:23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1</v>
      </c>
      <c r="R180">
        <f t="shared" si="15"/>
        <v>0</v>
      </c>
      <c r="S180">
        <f t="shared" si="16"/>
        <v>1</v>
      </c>
      <c r="T180">
        <f t="shared" si="17"/>
        <v>0</v>
      </c>
      <c r="U180">
        <v>40535.089999999997</v>
      </c>
      <c r="V180">
        <v>8870</v>
      </c>
      <c r="W180">
        <v>86.6</v>
      </c>
    </row>
    <row r="181" spans="1:23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1</v>
      </c>
      <c r="R181">
        <f t="shared" si="15"/>
        <v>0</v>
      </c>
      <c r="S181">
        <f t="shared" si="16"/>
        <v>1</v>
      </c>
      <c r="T181">
        <f t="shared" si="17"/>
        <v>0</v>
      </c>
      <c r="U181">
        <v>74881.56</v>
      </c>
      <c r="V181">
        <v>9999</v>
      </c>
      <c r="W181">
        <v>89.6</v>
      </c>
    </row>
    <row r="182" spans="1:23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1</v>
      </c>
      <c r="R182">
        <f t="shared" si="15"/>
        <v>0</v>
      </c>
      <c r="S182">
        <f t="shared" si="16"/>
        <v>0</v>
      </c>
      <c r="T182">
        <f t="shared" si="17"/>
        <v>0</v>
      </c>
      <c r="U182">
        <v>68491.11</v>
      </c>
      <c r="V182">
        <v>11154</v>
      </c>
      <c r="W182">
        <v>89.4</v>
      </c>
    </row>
    <row r="183" spans="1:23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1</v>
      </c>
      <c r="R183">
        <f t="shared" si="15"/>
        <v>0</v>
      </c>
      <c r="S183">
        <f t="shared" si="16"/>
        <v>0</v>
      </c>
      <c r="T183">
        <f t="shared" si="17"/>
        <v>0</v>
      </c>
      <c r="U183">
        <v>45209.25</v>
      </c>
      <c r="V183">
        <v>9287</v>
      </c>
      <c r="W183">
        <v>86.4</v>
      </c>
    </row>
    <row r="184" spans="1:23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1</v>
      </c>
      <c r="R184">
        <f t="shared" si="15"/>
        <v>0</v>
      </c>
      <c r="S184">
        <f t="shared" si="16"/>
        <v>0</v>
      </c>
      <c r="T184">
        <f t="shared" si="17"/>
        <v>0</v>
      </c>
      <c r="U184">
        <v>63010.23</v>
      </c>
      <c r="V184">
        <v>9812</v>
      </c>
      <c r="W184">
        <v>76.8</v>
      </c>
    </row>
    <row r="185" spans="1:23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1</v>
      </c>
      <c r="R185">
        <f t="shared" si="15"/>
        <v>0</v>
      </c>
      <c r="S185">
        <f t="shared" si="16"/>
        <v>0</v>
      </c>
      <c r="T185">
        <f t="shared" si="17"/>
        <v>0</v>
      </c>
      <c r="U185">
        <v>57948.88</v>
      </c>
      <c r="V185">
        <v>10741</v>
      </c>
      <c r="W185">
        <v>90.1</v>
      </c>
    </row>
    <row r="186" spans="1:23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1</v>
      </c>
      <c r="S186">
        <f t="shared" si="16"/>
        <v>0</v>
      </c>
      <c r="T186">
        <f t="shared" si="17"/>
        <v>0</v>
      </c>
      <c r="U186">
        <v>71941.62</v>
      </c>
      <c r="V186">
        <v>6084</v>
      </c>
      <c r="W186">
        <v>93.7</v>
      </c>
    </row>
    <row r="187" spans="1:23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1</v>
      </c>
      <c r="S187">
        <f t="shared" si="16"/>
        <v>0</v>
      </c>
      <c r="T187">
        <f t="shared" si="17"/>
        <v>0</v>
      </c>
      <c r="U187">
        <v>57147.88</v>
      </c>
      <c r="V187">
        <v>5252</v>
      </c>
      <c r="W187">
        <v>95.5</v>
      </c>
    </row>
    <row r="188" spans="1:23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1</v>
      </c>
      <c r="S188">
        <f t="shared" si="16"/>
        <v>0</v>
      </c>
      <c r="T188">
        <f t="shared" si="17"/>
        <v>0</v>
      </c>
      <c r="U188">
        <v>48031.74</v>
      </c>
      <c r="V188">
        <v>6516</v>
      </c>
      <c r="W188">
        <v>99</v>
      </c>
    </row>
    <row r="189" spans="1:23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1</v>
      </c>
      <c r="S189">
        <f t="shared" si="16"/>
        <v>0</v>
      </c>
      <c r="T189">
        <f t="shared" si="17"/>
        <v>0</v>
      </c>
      <c r="U189">
        <v>72784.800000000003</v>
      </c>
      <c r="V189">
        <v>7932</v>
      </c>
      <c r="W189">
        <v>74.900000000000006</v>
      </c>
    </row>
    <row r="190" spans="1:23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2"/>
        <v>0</v>
      </c>
      <c r="P190">
        <f t="shared" si="13"/>
        <v>0</v>
      </c>
      <c r="Q190">
        <f t="shared" si="14"/>
        <v>0</v>
      </c>
      <c r="R190">
        <f t="shared" si="15"/>
        <v>1</v>
      </c>
      <c r="S190">
        <f t="shared" si="16"/>
        <v>0</v>
      </c>
      <c r="T190">
        <f t="shared" si="17"/>
        <v>0</v>
      </c>
      <c r="U190">
        <v>71641.899999999994</v>
      </c>
      <c r="V190">
        <v>3506</v>
      </c>
      <c r="W190">
        <v>86.4</v>
      </c>
    </row>
    <row r="191" spans="1:23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2"/>
        <v>0</v>
      </c>
      <c r="P191">
        <f t="shared" si="13"/>
        <v>0</v>
      </c>
      <c r="Q191">
        <f t="shared" si="14"/>
        <v>0</v>
      </c>
      <c r="R191">
        <f t="shared" si="15"/>
        <v>1</v>
      </c>
      <c r="S191">
        <f t="shared" si="16"/>
        <v>0</v>
      </c>
      <c r="T191">
        <f t="shared" si="17"/>
        <v>0</v>
      </c>
      <c r="U191">
        <v>55788.61</v>
      </c>
      <c r="V191">
        <v>2312</v>
      </c>
      <c r="W191">
        <v>91.3</v>
      </c>
    </row>
    <row r="192" spans="1:23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2"/>
        <v>0</v>
      </c>
      <c r="P192">
        <f t="shared" si="13"/>
        <v>0</v>
      </c>
      <c r="Q192">
        <f t="shared" si="14"/>
        <v>0</v>
      </c>
      <c r="R192">
        <f t="shared" si="15"/>
        <v>1</v>
      </c>
      <c r="S192">
        <f t="shared" si="16"/>
        <v>0</v>
      </c>
      <c r="T192">
        <f t="shared" si="17"/>
        <v>0</v>
      </c>
      <c r="U192">
        <v>37705.879999999997</v>
      </c>
      <c r="V192">
        <v>1268</v>
      </c>
      <c r="W192">
        <v>84.1</v>
      </c>
    </row>
    <row r="193" spans="1:23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2"/>
        <v>0</v>
      </c>
      <c r="P193">
        <f t="shared" si="13"/>
        <v>0</v>
      </c>
      <c r="Q193">
        <f t="shared" si="14"/>
        <v>0</v>
      </c>
      <c r="R193">
        <f t="shared" si="15"/>
        <v>1</v>
      </c>
      <c r="S193">
        <f t="shared" si="16"/>
        <v>0</v>
      </c>
      <c r="T193">
        <f t="shared" si="17"/>
        <v>0</v>
      </c>
      <c r="U193">
        <v>54966.18</v>
      </c>
      <c r="V193">
        <v>4423</v>
      </c>
      <c r="W193">
        <v>88.7</v>
      </c>
    </row>
    <row r="194" spans="1:23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1</v>
      </c>
      <c r="R194">
        <f t="shared" si="15"/>
        <v>0</v>
      </c>
      <c r="S194">
        <f t="shared" si="16"/>
        <v>0</v>
      </c>
      <c r="T194">
        <f t="shared" si="17"/>
        <v>0</v>
      </c>
      <c r="U194">
        <v>81796.740000000005</v>
      </c>
      <c r="V194">
        <v>6177</v>
      </c>
      <c r="W194">
        <v>87.9</v>
      </c>
    </row>
    <row r="195" spans="1:23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8">IF($C195="North",1,0)</f>
        <v>0</v>
      </c>
      <c r="P195">
        <f t="shared" ref="P195:P258" si="19">IF($C195="South",1,0)</f>
        <v>0</v>
      </c>
      <c r="Q195">
        <f t="shared" ref="Q195:Q258" si="20">IF($C195="West",1,0)</f>
        <v>1</v>
      </c>
      <c r="R195">
        <f t="shared" ref="R195:R258" si="21">IF($D195="High Street",1,0)</f>
        <v>0</v>
      </c>
      <c r="S195">
        <f t="shared" ref="S195:S258" si="22">IF($D195="Airport",1,0)</f>
        <v>0</v>
      </c>
      <c r="T195">
        <f t="shared" ref="T195:T258" si="23">IF($D195="Mall",1,0)</f>
        <v>0</v>
      </c>
      <c r="U195">
        <v>51133.43</v>
      </c>
      <c r="V195">
        <v>5150</v>
      </c>
      <c r="W195">
        <v>88.5</v>
      </c>
    </row>
    <row r="196" spans="1:23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1</v>
      </c>
      <c r="R196">
        <f t="shared" si="21"/>
        <v>0</v>
      </c>
      <c r="S196">
        <f t="shared" si="22"/>
        <v>0</v>
      </c>
      <c r="T196">
        <f t="shared" si="23"/>
        <v>0</v>
      </c>
      <c r="U196">
        <v>40220.18</v>
      </c>
      <c r="V196">
        <v>3783</v>
      </c>
      <c r="W196">
        <v>86.6</v>
      </c>
    </row>
    <row r="197" spans="1:23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1</v>
      </c>
      <c r="R197">
        <f t="shared" si="21"/>
        <v>0</v>
      </c>
      <c r="S197">
        <f t="shared" si="22"/>
        <v>0</v>
      </c>
      <c r="T197">
        <f t="shared" si="23"/>
        <v>0</v>
      </c>
      <c r="U197">
        <v>41657.64</v>
      </c>
      <c r="V197">
        <v>3135</v>
      </c>
      <c r="W197">
        <v>85.4</v>
      </c>
    </row>
    <row r="198" spans="1:23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0</v>
      </c>
      <c r="S198">
        <f t="shared" si="22"/>
        <v>0</v>
      </c>
      <c r="T198">
        <f t="shared" si="23"/>
        <v>0</v>
      </c>
      <c r="U198">
        <v>71851.45</v>
      </c>
      <c r="V198">
        <v>4970</v>
      </c>
      <c r="W198">
        <v>89.6</v>
      </c>
    </row>
    <row r="199" spans="1:23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0</v>
      </c>
      <c r="S199">
        <f t="shared" si="22"/>
        <v>0</v>
      </c>
      <c r="T199">
        <f t="shared" si="23"/>
        <v>0</v>
      </c>
      <c r="U199">
        <v>54002.83</v>
      </c>
      <c r="V199">
        <v>4366</v>
      </c>
      <c r="W199">
        <v>90.6</v>
      </c>
    </row>
    <row r="200" spans="1:23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0</v>
      </c>
      <c r="S200">
        <f t="shared" si="22"/>
        <v>0</v>
      </c>
      <c r="T200">
        <f t="shared" si="23"/>
        <v>0</v>
      </c>
      <c r="U200">
        <v>54479.33</v>
      </c>
      <c r="V200">
        <v>5012</v>
      </c>
      <c r="W200">
        <v>86</v>
      </c>
    </row>
    <row r="201" spans="1:23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0</v>
      </c>
      <c r="S201">
        <f t="shared" si="22"/>
        <v>0</v>
      </c>
      <c r="T201">
        <f t="shared" si="23"/>
        <v>0</v>
      </c>
      <c r="U201">
        <v>61391.8</v>
      </c>
      <c r="V201">
        <v>5575</v>
      </c>
      <c r="W201">
        <v>90</v>
      </c>
    </row>
    <row r="202" spans="1:23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8"/>
        <v>0</v>
      </c>
      <c r="P202">
        <f t="shared" si="19"/>
        <v>0</v>
      </c>
      <c r="Q202">
        <f t="shared" si="20"/>
        <v>0</v>
      </c>
      <c r="R202">
        <f t="shared" si="21"/>
        <v>0</v>
      </c>
      <c r="S202">
        <f t="shared" si="22"/>
        <v>1</v>
      </c>
      <c r="T202">
        <f t="shared" si="23"/>
        <v>0</v>
      </c>
      <c r="U202">
        <v>22312.93</v>
      </c>
      <c r="V202">
        <v>5955</v>
      </c>
      <c r="W202">
        <v>84.2</v>
      </c>
    </row>
    <row r="203" spans="1:23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8"/>
        <v>0</v>
      </c>
      <c r="P203">
        <f t="shared" si="19"/>
        <v>0</v>
      </c>
      <c r="Q203">
        <f t="shared" si="20"/>
        <v>0</v>
      </c>
      <c r="R203">
        <f t="shared" si="21"/>
        <v>0</v>
      </c>
      <c r="S203">
        <f t="shared" si="22"/>
        <v>1</v>
      </c>
      <c r="T203">
        <f t="shared" si="23"/>
        <v>0</v>
      </c>
      <c r="U203">
        <v>78111.97</v>
      </c>
      <c r="V203">
        <v>6389</v>
      </c>
      <c r="W203">
        <v>83.9</v>
      </c>
    </row>
    <row r="204" spans="1:23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8"/>
        <v>0</v>
      </c>
      <c r="P204">
        <f t="shared" si="19"/>
        <v>0</v>
      </c>
      <c r="Q204">
        <f t="shared" si="20"/>
        <v>0</v>
      </c>
      <c r="R204">
        <f t="shared" si="21"/>
        <v>0</v>
      </c>
      <c r="S204">
        <f t="shared" si="22"/>
        <v>1</v>
      </c>
      <c r="T204">
        <f t="shared" si="23"/>
        <v>0</v>
      </c>
      <c r="U204">
        <v>35203.230000000003</v>
      </c>
      <c r="V204">
        <v>6896</v>
      </c>
      <c r="W204">
        <v>80.8</v>
      </c>
    </row>
    <row r="205" spans="1:23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8"/>
        <v>0</v>
      </c>
      <c r="P205">
        <f t="shared" si="19"/>
        <v>0</v>
      </c>
      <c r="Q205">
        <f t="shared" si="20"/>
        <v>0</v>
      </c>
      <c r="R205">
        <f t="shared" si="21"/>
        <v>0</v>
      </c>
      <c r="S205">
        <f t="shared" si="22"/>
        <v>1</v>
      </c>
      <c r="T205">
        <f t="shared" si="23"/>
        <v>0</v>
      </c>
      <c r="U205">
        <v>64104.28</v>
      </c>
      <c r="V205">
        <v>6015</v>
      </c>
      <c r="W205">
        <v>88.7</v>
      </c>
    </row>
    <row r="206" spans="1:23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8"/>
        <v>0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1</v>
      </c>
      <c r="U206">
        <v>92090.14</v>
      </c>
      <c r="V206">
        <v>9476</v>
      </c>
      <c r="W206">
        <v>94.3</v>
      </c>
    </row>
    <row r="207" spans="1:23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8"/>
        <v>0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1</v>
      </c>
      <c r="U207">
        <v>54300.87</v>
      </c>
      <c r="V207">
        <v>7875</v>
      </c>
      <c r="W207">
        <v>94.1</v>
      </c>
    </row>
    <row r="208" spans="1:23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8"/>
        <v>0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1</v>
      </c>
      <c r="U208">
        <v>37983.35</v>
      </c>
      <c r="V208">
        <v>9283</v>
      </c>
      <c r="W208">
        <v>83.2</v>
      </c>
    </row>
    <row r="209" spans="1:23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8"/>
        <v>0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1</v>
      </c>
      <c r="U209">
        <v>56413.83</v>
      </c>
      <c r="V209">
        <v>8303</v>
      </c>
      <c r="W209">
        <v>93.6</v>
      </c>
    </row>
    <row r="210" spans="1:23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8"/>
        <v>0</v>
      </c>
      <c r="P210">
        <f t="shared" si="19"/>
        <v>0</v>
      </c>
      <c r="Q210">
        <f t="shared" si="20"/>
        <v>0</v>
      </c>
      <c r="R210">
        <f t="shared" si="21"/>
        <v>1</v>
      </c>
      <c r="S210">
        <f t="shared" si="22"/>
        <v>0</v>
      </c>
      <c r="T210">
        <f t="shared" si="23"/>
        <v>0</v>
      </c>
      <c r="U210">
        <v>63457.19</v>
      </c>
      <c r="V210">
        <v>10125</v>
      </c>
      <c r="W210">
        <v>87</v>
      </c>
    </row>
    <row r="211" spans="1:23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8"/>
        <v>0</v>
      </c>
      <c r="P211">
        <f t="shared" si="19"/>
        <v>0</v>
      </c>
      <c r="Q211">
        <f t="shared" si="20"/>
        <v>0</v>
      </c>
      <c r="R211">
        <f t="shared" si="21"/>
        <v>1</v>
      </c>
      <c r="S211">
        <f t="shared" si="22"/>
        <v>0</v>
      </c>
      <c r="T211">
        <f t="shared" si="23"/>
        <v>0</v>
      </c>
      <c r="U211">
        <v>62949.7</v>
      </c>
      <c r="V211">
        <v>9458</v>
      </c>
      <c r="W211">
        <v>84.9</v>
      </c>
    </row>
    <row r="212" spans="1:23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8"/>
        <v>0</v>
      </c>
      <c r="P212">
        <f t="shared" si="19"/>
        <v>0</v>
      </c>
      <c r="Q212">
        <f t="shared" si="20"/>
        <v>0</v>
      </c>
      <c r="R212">
        <f t="shared" si="21"/>
        <v>1</v>
      </c>
      <c r="S212">
        <f t="shared" si="22"/>
        <v>0</v>
      </c>
      <c r="T212">
        <f t="shared" si="23"/>
        <v>0</v>
      </c>
      <c r="U212">
        <v>107970.19</v>
      </c>
      <c r="V212">
        <v>12870</v>
      </c>
      <c r="W212">
        <v>91.7</v>
      </c>
    </row>
    <row r="213" spans="1:23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8"/>
        <v>0</v>
      </c>
      <c r="P213">
        <f t="shared" si="19"/>
        <v>0</v>
      </c>
      <c r="Q213">
        <f t="shared" si="20"/>
        <v>0</v>
      </c>
      <c r="R213">
        <f t="shared" si="21"/>
        <v>1</v>
      </c>
      <c r="S213">
        <f t="shared" si="22"/>
        <v>0</v>
      </c>
      <c r="T213">
        <f t="shared" si="23"/>
        <v>0</v>
      </c>
      <c r="U213">
        <v>49405.75</v>
      </c>
      <c r="V213">
        <v>9752</v>
      </c>
      <c r="W213">
        <v>87</v>
      </c>
    </row>
    <row r="214" spans="1:23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1</v>
      </c>
      <c r="R214">
        <f t="shared" si="21"/>
        <v>0</v>
      </c>
      <c r="S214">
        <f t="shared" si="22"/>
        <v>0</v>
      </c>
      <c r="T214">
        <f t="shared" si="23"/>
        <v>0</v>
      </c>
      <c r="U214">
        <v>50887.46</v>
      </c>
      <c r="V214">
        <v>9505</v>
      </c>
      <c r="W214">
        <v>89.7</v>
      </c>
    </row>
    <row r="215" spans="1:23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1</v>
      </c>
      <c r="R215">
        <f t="shared" si="21"/>
        <v>0</v>
      </c>
      <c r="S215">
        <f t="shared" si="22"/>
        <v>0</v>
      </c>
      <c r="T215">
        <f t="shared" si="23"/>
        <v>0</v>
      </c>
      <c r="U215">
        <v>41819.449999999997</v>
      </c>
      <c r="V215">
        <v>9412</v>
      </c>
      <c r="W215">
        <v>91</v>
      </c>
    </row>
    <row r="216" spans="1:23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1</v>
      </c>
      <c r="R216">
        <f t="shared" si="21"/>
        <v>0</v>
      </c>
      <c r="S216">
        <f t="shared" si="22"/>
        <v>0</v>
      </c>
      <c r="T216">
        <f t="shared" si="23"/>
        <v>0</v>
      </c>
      <c r="U216">
        <v>35296.54</v>
      </c>
      <c r="V216">
        <v>9644</v>
      </c>
      <c r="W216">
        <v>88</v>
      </c>
    </row>
    <row r="217" spans="1:23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1</v>
      </c>
      <c r="R217">
        <f t="shared" si="21"/>
        <v>0</v>
      </c>
      <c r="S217">
        <f t="shared" si="22"/>
        <v>0</v>
      </c>
      <c r="T217">
        <f t="shared" si="23"/>
        <v>0</v>
      </c>
      <c r="U217">
        <v>47391.09</v>
      </c>
      <c r="V217">
        <v>11224</v>
      </c>
      <c r="W217">
        <v>88.4</v>
      </c>
    </row>
    <row r="218" spans="1:23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0</v>
      </c>
      <c r="S218">
        <f t="shared" si="22"/>
        <v>1</v>
      </c>
      <c r="T218">
        <f t="shared" si="23"/>
        <v>0</v>
      </c>
      <c r="U218">
        <v>69180.539999999994</v>
      </c>
      <c r="V218">
        <v>5394</v>
      </c>
      <c r="W218">
        <v>82.9</v>
      </c>
    </row>
    <row r="219" spans="1:23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0</v>
      </c>
      <c r="S219">
        <f t="shared" si="22"/>
        <v>1</v>
      </c>
      <c r="T219">
        <f t="shared" si="23"/>
        <v>0</v>
      </c>
      <c r="U219">
        <v>33987.33</v>
      </c>
      <c r="V219">
        <v>5014</v>
      </c>
      <c r="W219">
        <v>94.3</v>
      </c>
    </row>
    <row r="220" spans="1:23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0</v>
      </c>
      <c r="S220">
        <f t="shared" si="22"/>
        <v>1</v>
      </c>
      <c r="T220">
        <f t="shared" si="23"/>
        <v>0</v>
      </c>
      <c r="U220">
        <v>58785.33</v>
      </c>
      <c r="V220">
        <v>4467</v>
      </c>
      <c r="W220">
        <v>90.7</v>
      </c>
    </row>
    <row r="221" spans="1:23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0</v>
      </c>
      <c r="S221">
        <f t="shared" si="22"/>
        <v>1</v>
      </c>
      <c r="T221">
        <f t="shared" si="23"/>
        <v>0</v>
      </c>
      <c r="U221">
        <v>16451.849999999999</v>
      </c>
      <c r="V221">
        <v>4678</v>
      </c>
      <c r="W221">
        <v>95.9</v>
      </c>
    </row>
    <row r="222" spans="1:23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8"/>
        <v>0</v>
      </c>
      <c r="P222">
        <f t="shared" si="19"/>
        <v>0</v>
      </c>
      <c r="Q222">
        <f t="shared" si="20"/>
        <v>0</v>
      </c>
      <c r="R222">
        <f t="shared" si="21"/>
        <v>1</v>
      </c>
      <c r="S222">
        <f t="shared" si="22"/>
        <v>0</v>
      </c>
      <c r="T222">
        <f t="shared" si="23"/>
        <v>0</v>
      </c>
      <c r="U222">
        <v>53367.73</v>
      </c>
      <c r="V222">
        <v>7291</v>
      </c>
      <c r="W222">
        <v>90.6</v>
      </c>
    </row>
    <row r="223" spans="1:23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8"/>
        <v>0</v>
      </c>
      <c r="P223">
        <f t="shared" si="19"/>
        <v>0</v>
      </c>
      <c r="Q223">
        <f t="shared" si="20"/>
        <v>0</v>
      </c>
      <c r="R223">
        <f t="shared" si="21"/>
        <v>1</v>
      </c>
      <c r="S223">
        <f t="shared" si="22"/>
        <v>0</v>
      </c>
      <c r="T223">
        <f t="shared" si="23"/>
        <v>0</v>
      </c>
      <c r="U223">
        <v>27194.639999999999</v>
      </c>
      <c r="V223">
        <v>7404</v>
      </c>
      <c r="W223">
        <v>90.2</v>
      </c>
    </row>
    <row r="224" spans="1:23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8"/>
        <v>0</v>
      </c>
      <c r="P224">
        <f t="shared" si="19"/>
        <v>0</v>
      </c>
      <c r="Q224">
        <f t="shared" si="20"/>
        <v>0</v>
      </c>
      <c r="R224">
        <f t="shared" si="21"/>
        <v>1</v>
      </c>
      <c r="S224">
        <f t="shared" si="22"/>
        <v>0</v>
      </c>
      <c r="T224">
        <f t="shared" si="23"/>
        <v>0</v>
      </c>
      <c r="U224">
        <v>66962.740000000005</v>
      </c>
      <c r="V224">
        <v>7880</v>
      </c>
      <c r="W224">
        <v>90.4</v>
      </c>
    </row>
    <row r="225" spans="1:23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8"/>
        <v>0</v>
      </c>
      <c r="P225">
        <f t="shared" si="19"/>
        <v>0</v>
      </c>
      <c r="Q225">
        <f t="shared" si="20"/>
        <v>0</v>
      </c>
      <c r="R225">
        <f t="shared" si="21"/>
        <v>1</v>
      </c>
      <c r="S225">
        <f t="shared" si="22"/>
        <v>0</v>
      </c>
      <c r="T225">
        <f t="shared" si="23"/>
        <v>0</v>
      </c>
      <c r="U225">
        <v>73540.990000000005</v>
      </c>
      <c r="V225">
        <v>8773</v>
      </c>
      <c r="W225">
        <v>84.4</v>
      </c>
    </row>
    <row r="226" spans="1:23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8"/>
        <v>0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1</v>
      </c>
      <c r="U226">
        <v>68212.289999999994</v>
      </c>
      <c r="V226">
        <v>4713</v>
      </c>
      <c r="W226">
        <v>82.6</v>
      </c>
    </row>
    <row r="227" spans="1:23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8"/>
        <v>0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1</v>
      </c>
      <c r="U227">
        <v>57225.98</v>
      </c>
      <c r="V227">
        <v>2842</v>
      </c>
      <c r="W227">
        <v>79.5</v>
      </c>
    </row>
    <row r="228" spans="1:23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8"/>
        <v>0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1</v>
      </c>
      <c r="U228">
        <v>42932.02</v>
      </c>
      <c r="V228">
        <v>3872</v>
      </c>
      <c r="W228">
        <v>83.2</v>
      </c>
    </row>
    <row r="229" spans="1:23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O229">
        <f t="shared" si="18"/>
        <v>0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1</v>
      </c>
      <c r="U229">
        <v>39341.449999999997</v>
      </c>
      <c r="V229">
        <v>1375</v>
      </c>
      <c r="W229">
        <v>95</v>
      </c>
    </row>
    <row r="230" spans="1:23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8"/>
        <v>0</v>
      </c>
      <c r="P230">
        <f t="shared" si="19"/>
        <v>0</v>
      </c>
      <c r="Q230">
        <f t="shared" si="20"/>
        <v>0</v>
      </c>
      <c r="R230">
        <f t="shared" si="21"/>
        <v>1</v>
      </c>
      <c r="S230">
        <f t="shared" si="22"/>
        <v>0</v>
      </c>
      <c r="T230">
        <f t="shared" si="23"/>
        <v>0</v>
      </c>
      <c r="U230">
        <v>37324.230000000003</v>
      </c>
      <c r="V230">
        <v>5957</v>
      </c>
      <c r="W230">
        <v>85.9</v>
      </c>
    </row>
    <row r="231" spans="1:23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8"/>
        <v>0</v>
      </c>
      <c r="P231">
        <f t="shared" si="19"/>
        <v>0</v>
      </c>
      <c r="Q231">
        <f t="shared" si="20"/>
        <v>0</v>
      </c>
      <c r="R231">
        <f t="shared" si="21"/>
        <v>1</v>
      </c>
      <c r="S231">
        <f t="shared" si="22"/>
        <v>0</v>
      </c>
      <c r="T231">
        <f t="shared" si="23"/>
        <v>0</v>
      </c>
      <c r="U231">
        <v>113736</v>
      </c>
      <c r="V231">
        <v>8961</v>
      </c>
      <c r="W231">
        <v>86.2</v>
      </c>
    </row>
    <row r="232" spans="1:23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8"/>
        <v>0</v>
      </c>
      <c r="P232">
        <f t="shared" si="19"/>
        <v>0</v>
      </c>
      <c r="Q232">
        <f t="shared" si="20"/>
        <v>0</v>
      </c>
      <c r="R232">
        <f t="shared" si="21"/>
        <v>1</v>
      </c>
      <c r="S232">
        <f t="shared" si="22"/>
        <v>0</v>
      </c>
      <c r="T232">
        <f t="shared" si="23"/>
        <v>0</v>
      </c>
      <c r="U232">
        <v>33173.949999999997</v>
      </c>
      <c r="V232">
        <v>6545</v>
      </c>
      <c r="W232">
        <v>84.4</v>
      </c>
    </row>
    <row r="233" spans="1:23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>
        <f t="shared" si="18"/>
        <v>0</v>
      </c>
      <c r="P233">
        <f t="shared" si="19"/>
        <v>0</v>
      </c>
      <c r="Q233">
        <f t="shared" si="20"/>
        <v>0</v>
      </c>
      <c r="R233">
        <f t="shared" si="21"/>
        <v>1</v>
      </c>
      <c r="S233">
        <f t="shared" si="22"/>
        <v>0</v>
      </c>
      <c r="T233">
        <f t="shared" si="23"/>
        <v>0</v>
      </c>
      <c r="U233">
        <v>25818.080000000002</v>
      </c>
      <c r="V233">
        <v>5457</v>
      </c>
      <c r="W233">
        <v>95.4</v>
      </c>
    </row>
    <row r="234" spans="1:23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1</v>
      </c>
      <c r="R234">
        <f t="shared" si="21"/>
        <v>0</v>
      </c>
      <c r="S234">
        <f t="shared" si="22"/>
        <v>0</v>
      </c>
      <c r="T234">
        <f t="shared" si="23"/>
        <v>0</v>
      </c>
      <c r="U234">
        <v>47241.919999999998</v>
      </c>
      <c r="V234">
        <v>4264</v>
      </c>
      <c r="W234">
        <v>95.3</v>
      </c>
    </row>
    <row r="235" spans="1:23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1</v>
      </c>
      <c r="R235">
        <f t="shared" si="21"/>
        <v>0</v>
      </c>
      <c r="S235">
        <f t="shared" si="22"/>
        <v>0</v>
      </c>
      <c r="T235">
        <f t="shared" si="23"/>
        <v>0</v>
      </c>
      <c r="U235">
        <v>61650.79</v>
      </c>
      <c r="V235">
        <v>5321</v>
      </c>
      <c r="W235">
        <v>89.2</v>
      </c>
    </row>
    <row r="236" spans="1:23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1</v>
      </c>
      <c r="R236">
        <f t="shared" si="21"/>
        <v>0</v>
      </c>
      <c r="S236">
        <f t="shared" si="22"/>
        <v>0</v>
      </c>
      <c r="T236">
        <f t="shared" si="23"/>
        <v>0</v>
      </c>
      <c r="U236">
        <v>62582.71</v>
      </c>
      <c r="V236">
        <v>5479</v>
      </c>
      <c r="W236">
        <v>81.2</v>
      </c>
    </row>
    <row r="237" spans="1:23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1</v>
      </c>
      <c r="R237">
        <f t="shared" si="21"/>
        <v>0</v>
      </c>
      <c r="S237">
        <f t="shared" si="22"/>
        <v>0</v>
      </c>
      <c r="T237">
        <f t="shared" si="23"/>
        <v>0</v>
      </c>
      <c r="U237">
        <v>47944.14</v>
      </c>
      <c r="V237">
        <v>6169</v>
      </c>
      <c r="W237">
        <v>92.2</v>
      </c>
    </row>
    <row r="238" spans="1:23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1</v>
      </c>
      <c r="R238">
        <f t="shared" si="21"/>
        <v>0</v>
      </c>
      <c r="S238">
        <f t="shared" si="22"/>
        <v>0</v>
      </c>
      <c r="T238">
        <f t="shared" si="23"/>
        <v>1</v>
      </c>
      <c r="U238">
        <v>46495.4</v>
      </c>
      <c r="V238">
        <v>9908</v>
      </c>
      <c r="W238">
        <v>89.4</v>
      </c>
    </row>
    <row r="239" spans="1:23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1</v>
      </c>
      <c r="R239">
        <f t="shared" si="21"/>
        <v>0</v>
      </c>
      <c r="S239">
        <f t="shared" si="22"/>
        <v>0</v>
      </c>
      <c r="T239">
        <f t="shared" si="23"/>
        <v>1</v>
      </c>
      <c r="U239">
        <v>72961.95</v>
      </c>
      <c r="V239">
        <v>9996</v>
      </c>
      <c r="W239">
        <v>89.1</v>
      </c>
    </row>
    <row r="240" spans="1:23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1</v>
      </c>
      <c r="R240">
        <f t="shared" si="21"/>
        <v>0</v>
      </c>
      <c r="S240">
        <f t="shared" si="22"/>
        <v>0</v>
      </c>
      <c r="T240">
        <f t="shared" si="23"/>
        <v>1</v>
      </c>
      <c r="U240">
        <v>59060.05</v>
      </c>
      <c r="V240">
        <v>9702</v>
      </c>
      <c r="W240">
        <v>80.900000000000006</v>
      </c>
    </row>
    <row r="241" spans="1:23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1</v>
      </c>
      <c r="R241">
        <f t="shared" si="21"/>
        <v>0</v>
      </c>
      <c r="S241">
        <f t="shared" si="22"/>
        <v>0</v>
      </c>
      <c r="T241">
        <f t="shared" si="23"/>
        <v>1</v>
      </c>
      <c r="U241">
        <v>26248.1</v>
      </c>
      <c r="V241">
        <v>9314</v>
      </c>
      <c r="W241">
        <v>83.7</v>
      </c>
    </row>
    <row r="242" spans="1:23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0</v>
      </c>
      <c r="S242">
        <f t="shared" si="22"/>
        <v>1</v>
      </c>
      <c r="T242">
        <f t="shared" si="23"/>
        <v>0</v>
      </c>
      <c r="U242">
        <v>69900.12</v>
      </c>
      <c r="V242">
        <v>8055</v>
      </c>
      <c r="W242">
        <v>85.6</v>
      </c>
    </row>
    <row r="243" spans="1:23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0</v>
      </c>
      <c r="S243">
        <f t="shared" si="22"/>
        <v>1</v>
      </c>
      <c r="T243">
        <f t="shared" si="23"/>
        <v>0</v>
      </c>
      <c r="U243">
        <v>51781.599999999999</v>
      </c>
      <c r="V243">
        <v>5648</v>
      </c>
      <c r="W243">
        <v>85.5</v>
      </c>
    </row>
    <row r="244" spans="1:23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0</v>
      </c>
      <c r="S244">
        <f t="shared" si="22"/>
        <v>1</v>
      </c>
      <c r="T244">
        <f t="shared" si="23"/>
        <v>0</v>
      </c>
      <c r="U244">
        <v>70799.64</v>
      </c>
      <c r="V244">
        <v>10076</v>
      </c>
      <c r="W244">
        <v>84.8</v>
      </c>
    </row>
    <row r="245" spans="1:23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0</v>
      </c>
      <c r="S245">
        <f t="shared" si="22"/>
        <v>1</v>
      </c>
      <c r="T245">
        <f t="shared" si="23"/>
        <v>0</v>
      </c>
      <c r="U245">
        <v>53546.34</v>
      </c>
      <c r="V245">
        <v>8004</v>
      </c>
      <c r="W245">
        <v>95.2</v>
      </c>
    </row>
    <row r="246" spans="1:23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8"/>
        <v>0</v>
      </c>
      <c r="P246">
        <f t="shared" si="19"/>
        <v>0</v>
      </c>
      <c r="Q246">
        <f t="shared" si="20"/>
        <v>0</v>
      </c>
      <c r="R246">
        <f t="shared" si="21"/>
        <v>1</v>
      </c>
      <c r="S246">
        <f t="shared" si="22"/>
        <v>0</v>
      </c>
      <c r="T246">
        <f t="shared" si="23"/>
        <v>0</v>
      </c>
      <c r="U246">
        <v>76942.2</v>
      </c>
      <c r="V246">
        <v>8934</v>
      </c>
      <c r="W246">
        <v>91</v>
      </c>
    </row>
    <row r="247" spans="1:23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8"/>
        <v>0</v>
      </c>
      <c r="P247">
        <f t="shared" si="19"/>
        <v>0</v>
      </c>
      <c r="Q247">
        <f t="shared" si="20"/>
        <v>0</v>
      </c>
      <c r="R247">
        <f t="shared" si="21"/>
        <v>1</v>
      </c>
      <c r="S247">
        <f t="shared" si="22"/>
        <v>0</v>
      </c>
      <c r="T247">
        <f t="shared" si="23"/>
        <v>0</v>
      </c>
      <c r="U247">
        <v>48060.78</v>
      </c>
      <c r="V247">
        <v>8733</v>
      </c>
      <c r="W247">
        <v>89.9</v>
      </c>
    </row>
    <row r="248" spans="1:23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8"/>
        <v>0</v>
      </c>
      <c r="P248">
        <f t="shared" si="19"/>
        <v>0</v>
      </c>
      <c r="Q248">
        <f t="shared" si="20"/>
        <v>0</v>
      </c>
      <c r="R248">
        <f t="shared" si="21"/>
        <v>1</v>
      </c>
      <c r="S248">
        <f t="shared" si="22"/>
        <v>0</v>
      </c>
      <c r="T248">
        <f t="shared" si="23"/>
        <v>0</v>
      </c>
      <c r="U248">
        <v>57390.04</v>
      </c>
      <c r="V248">
        <v>7374</v>
      </c>
      <c r="W248">
        <v>91.8</v>
      </c>
    </row>
    <row r="249" spans="1:23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8"/>
        <v>0</v>
      </c>
      <c r="P249">
        <f t="shared" si="19"/>
        <v>0</v>
      </c>
      <c r="Q249">
        <f t="shared" si="20"/>
        <v>0</v>
      </c>
      <c r="R249">
        <f t="shared" si="21"/>
        <v>1</v>
      </c>
      <c r="S249">
        <f t="shared" si="22"/>
        <v>0</v>
      </c>
      <c r="T249">
        <f t="shared" si="23"/>
        <v>0</v>
      </c>
      <c r="U249">
        <v>21536.18</v>
      </c>
      <c r="V249">
        <v>8119</v>
      </c>
      <c r="W249">
        <v>90.4</v>
      </c>
    </row>
    <row r="250" spans="1:23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1</v>
      </c>
      <c r="S250">
        <f t="shared" si="22"/>
        <v>0</v>
      </c>
      <c r="T250">
        <f t="shared" si="23"/>
        <v>0</v>
      </c>
      <c r="U250">
        <v>40923.67</v>
      </c>
      <c r="V250">
        <v>3875</v>
      </c>
      <c r="W250">
        <v>96.1</v>
      </c>
    </row>
    <row r="251" spans="1:23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1</v>
      </c>
      <c r="S251">
        <f t="shared" si="22"/>
        <v>0</v>
      </c>
      <c r="T251">
        <f t="shared" si="23"/>
        <v>0</v>
      </c>
      <c r="U251">
        <v>72932.55</v>
      </c>
      <c r="V251">
        <v>5765</v>
      </c>
      <c r="W251">
        <v>81.8</v>
      </c>
    </row>
    <row r="252" spans="1:23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1</v>
      </c>
      <c r="S252">
        <f t="shared" si="22"/>
        <v>0</v>
      </c>
      <c r="T252">
        <f t="shared" si="23"/>
        <v>0</v>
      </c>
      <c r="U252">
        <v>38361.93</v>
      </c>
      <c r="V252">
        <v>6322</v>
      </c>
      <c r="W252">
        <v>88.4</v>
      </c>
    </row>
    <row r="253" spans="1:23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1</v>
      </c>
      <c r="S253">
        <f t="shared" si="22"/>
        <v>0</v>
      </c>
      <c r="T253">
        <f t="shared" si="23"/>
        <v>0</v>
      </c>
      <c r="U253">
        <v>97480.94</v>
      </c>
      <c r="V253">
        <v>6840</v>
      </c>
      <c r="W253">
        <v>79.2</v>
      </c>
    </row>
    <row r="254" spans="1:23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0</v>
      </c>
      <c r="S254">
        <f t="shared" si="22"/>
        <v>1</v>
      </c>
      <c r="T254">
        <f t="shared" si="23"/>
        <v>0</v>
      </c>
      <c r="U254">
        <v>81801.8</v>
      </c>
      <c r="V254">
        <v>6782</v>
      </c>
      <c r="W254">
        <v>99</v>
      </c>
    </row>
    <row r="255" spans="1:23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0</v>
      </c>
      <c r="S255">
        <f t="shared" si="22"/>
        <v>1</v>
      </c>
      <c r="T255">
        <f t="shared" si="23"/>
        <v>0</v>
      </c>
      <c r="U255">
        <v>63582.11</v>
      </c>
      <c r="V255">
        <v>6856</v>
      </c>
      <c r="W255">
        <v>89.5</v>
      </c>
    </row>
    <row r="256" spans="1:23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0</v>
      </c>
      <c r="S256">
        <f t="shared" si="22"/>
        <v>1</v>
      </c>
      <c r="T256">
        <f t="shared" si="23"/>
        <v>0</v>
      </c>
      <c r="U256">
        <v>75412.740000000005</v>
      </c>
      <c r="V256">
        <v>5641</v>
      </c>
      <c r="W256">
        <v>87.9</v>
      </c>
    </row>
    <row r="257" spans="1:23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0</v>
      </c>
      <c r="S257">
        <f t="shared" si="22"/>
        <v>1</v>
      </c>
      <c r="T257">
        <f t="shared" si="23"/>
        <v>0</v>
      </c>
      <c r="U257">
        <v>36290.080000000002</v>
      </c>
      <c r="V257">
        <v>5787</v>
      </c>
      <c r="W257">
        <v>88.3</v>
      </c>
    </row>
    <row r="258" spans="1:23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0</v>
      </c>
      <c r="T258">
        <f t="shared" si="23"/>
        <v>1</v>
      </c>
      <c r="U258">
        <v>65272.58</v>
      </c>
      <c r="V258">
        <v>8165</v>
      </c>
      <c r="W258">
        <v>87.8</v>
      </c>
    </row>
    <row r="259" spans="1:23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4">IF($C259="North",1,0)</f>
        <v>0</v>
      </c>
      <c r="P259">
        <f t="shared" ref="P259:P321" si="25">IF($C259="South",1,0)</f>
        <v>1</v>
      </c>
      <c r="Q259">
        <f t="shared" ref="Q259:Q321" si="26">IF($C259="West",1,0)</f>
        <v>0</v>
      </c>
      <c r="R259">
        <f t="shared" ref="R259:R321" si="27">IF($D259="High Street",1,0)</f>
        <v>0</v>
      </c>
      <c r="S259">
        <f t="shared" ref="S259:S321" si="28">IF($D259="Airport",1,0)</f>
        <v>0</v>
      </c>
      <c r="T259">
        <f t="shared" ref="T259:T321" si="29">IF($D259="Mall",1,0)</f>
        <v>1</v>
      </c>
      <c r="U259">
        <v>28670.43</v>
      </c>
      <c r="V259">
        <v>7574</v>
      </c>
      <c r="W259">
        <v>82.7</v>
      </c>
    </row>
    <row r="260" spans="1:23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0</v>
      </c>
      <c r="T260">
        <f t="shared" si="29"/>
        <v>1</v>
      </c>
      <c r="U260">
        <v>44189.34</v>
      </c>
      <c r="V260">
        <v>8634</v>
      </c>
      <c r="W260">
        <v>87.5</v>
      </c>
    </row>
    <row r="261" spans="1:23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0</v>
      </c>
      <c r="T261">
        <f t="shared" si="29"/>
        <v>1</v>
      </c>
      <c r="U261">
        <v>38397.82</v>
      </c>
      <c r="V261">
        <v>7836</v>
      </c>
      <c r="W261">
        <v>92.2</v>
      </c>
    </row>
    <row r="262" spans="1:23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1</v>
      </c>
      <c r="R262">
        <f t="shared" si="27"/>
        <v>1</v>
      </c>
      <c r="S262">
        <f t="shared" si="28"/>
        <v>0</v>
      </c>
      <c r="T262">
        <f t="shared" si="29"/>
        <v>0</v>
      </c>
      <c r="U262">
        <v>14519.37</v>
      </c>
      <c r="V262">
        <v>3047</v>
      </c>
      <c r="W262">
        <v>90.3</v>
      </c>
    </row>
    <row r="263" spans="1:23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1</v>
      </c>
      <c r="R263">
        <f t="shared" si="27"/>
        <v>1</v>
      </c>
      <c r="S263">
        <f t="shared" si="28"/>
        <v>0</v>
      </c>
      <c r="T263">
        <f t="shared" si="29"/>
        <v>0</v>
      </c>
      <c r="U263">
        <v>43288.2</v>
      </c>
      <c r="V263">
        <v>4783</v>
      </c>
      <c r="W263">
        <v>87.3</v>
      </c>
    </row>
    <row r="264" spans="1:23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1</v>
      </c>
      <c r="R264">
        <f t="shared" si="27"/>
        <v>1</v>
      </c>
      <c r="S264">
        <f t="shared" si="28"/>
        <v>0</v>
      </c>
      <c r="T264">
        <f t="shared" si="29"/>
        <v>0</v>
      </c>
      <c r="U264">
        <v>51450.55</v>
      </c>
      <c r="V264">
        <v>4902</v>
      </c>
      <c r="W264">
        <v>83.7</v>
      </c>
    </row>
    <row r="265" spans="1:23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1</v>
      </c>
      <c r="R265">
        <f t="shared" si="27"/>
        <v>1</v>
      </c>
      <c r="S265">
        <f t="shared" si="28"/>
        <v>0</v>
      </c>
      <c r="T265">
        <f t="shared" si="29"/>
        <v>0</v>
      </c>
      <c r="U265">
        <v>58688.26</v>
      </c>
      <c r="V265">
        <v>4022</v>
      </c>
      <c r="W265">
        <v>93.8</v>
      </c>
    </row>
    <row r="266" spans="1:23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4"/>
        <v>0</v>
      </c>
      <c r="P266">
        <f t="shared" si="25"/>
        <v>0</v>
      </c>
      <c r="Q266">
        <f t="shared" si="26"/>
        <v>0</v>
      </c>
      <c r="R266">
        <f t="shared" si="27"/>
        <v>1</v>
      </c>
      <c r="S266">
        <f t="shared" si="28"/>
        <v>0</v>
      </c>
      <c r="T266">
        <f t="shared" si="29"/>
        <v>0</v>
      </c>
      <c r="U266">
        <v>58981.91</v>
      </c>
      <c r="V266">
        <v>7324</v>
      </c>
      <c r="W266">
        <v>95.8</v>
      </c>
    </row>
    <row r="267" spans="1:23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4"/>
        <v>0</v>
      </c>
      <c r="P267">
        <f t="shared" si="25"/>
        <v>0</v>
      </c>
      <c r="Q267">
        <f t="shared" si="26"/>
        <v>0</v>
      </c>
      <c r="R267">
        <f t="shared" si="27"/>
        <v>1</v>
      </c>
      <c r="S267">
        <f t="shared" si="28"/>
        <v>0</v>
      </c>
      <c r="T267">
        <f t="shared" si="29"/>
        <v>0</v>
      </c>
      <c r="U267">
        <v>73454.539999999994</v>
      </c>
      <c r="V267">
        <v>8129</v>
      </c>
      <c r="W267">
        <v>85.2</v>
      </c>
    </row>
    <row r="268" spans="1:23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4"/>
        <v>0</v>
      </c>
      <c r="P268">
        <f t="shared" si="25"/>
        <v>0</v>
      </c>
      <c r="Q268">
        <f t="shared" si="26"/>
        <v>0</v>
      </c>
      <c r="R268">
        <f t="shared" si="27"/>
        <v>1</v>
      </c>
      <c r="S268">
        <f t="shared" si="28"/>
        <v>0</v>
      </c>
      <c r="T268">
        <f t="shared" si="29"/>
        <v>0</v>
      </c>
      <c r="U268">
        <v>56602.39</v>
      </c>
      <c r="V268">
        <v>7969</v>
      </c>
      <c r="W268">
        <v>88.3</v>
      </c>
    </row>
    <row r="269" spans="1:23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4"/>
        <v>0</v>
      </c>
      <c r="P269">
        <f t="shared" si="25"/>
        <v>0</v>
      </c>
      <c r="Q269">
        <f t="shared" si="26"/>
        <v>0</v>
      </c>
      <c r="R269">
        <f t="shared" si="27"/>
        <v>1</v>
      </c>
      <c r="S269">
        <f t="shared" si="28"/>
        <v>0</v>
      </c>
      <c r="T269">
        <f t="shared" si="29"/>
        <v>0</v>
      </c>
      <c r="U269">
        <v>67722.289999999994</v>
      </c>
      <c r="V269">
        <v>7240</v>
      </c>
      <c r="W269">
        <v>92.9</v>
      </c>
    </row>
    <row r="270" spans="1:23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4"/>
        <v>0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1</v>
      </c>
      <c r="U270">
        <v>48752.92</v>
      </c>
      <c r="V270">
        <v>8052</v>
      </c>
      <c r="W270">
        <v>94.9</v>
      </c>
    </row>
    <row r="271" spans="1:23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4"/>
        <v>0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1</v>
      </c>
      <c r="U271">
        <v>23914.97</v>
      </c>
      <c r="V271">
        <v>8018</v>
      </c>
      <c r="W271">
        <v>89</v>
      </c>
    </row>
    <row r="272" spans="1:23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4"/>
        <v>0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1</v>
      </c>
      <c r="U272">
        <v>61995.3</v>
      </c>
      <c r="V272">
        <v>10192</v>
      </c>
      <c r="W272">
        <v>87.6</v>
      </c>
    </row>
    <row r="273" spans="1:23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4"/>
        <v>0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1</v>
      </c>
      <c r="U273">
        <v>29344.93</v>
      </c>
      <c r="V273">
        <v>7446</v>
      </c>
      <c r="W273">
        <v>86.2</v>
      </c>
    </row>
    <row r="274" spans="1:23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1</v>
      </c>
      <c r="R274">
        <f t="shared" si="27"/>
        <v>1</v>
      </c>
      <c r="S274">
        <f t="shared" si="28"/>
        <v>0</v>
      </c>
      <c r="T274">
        <f t="shared" si="29"/>
        <v>0</v>
      </c>
      <c r="U274">
        <v>50532.17</v>
      </c>
      <c r="V274">
        <v>5689</v>
      </c>
      <c r="W274">
        <v>85.6</v>
      </c>
    </row>
    <row r="275" spans="1:23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1</v>
      </c>
      <c r="R275">
        <f t="shared" si="27"/>
        <v>1</v>
      </c>
      <c r="S275">
        <f t="shared" si="28"/>
        <v>0</v>
      </c>
      <c r="T275">
        <f t="shared" si="29"/>
        <v>0</v>
      </c>
      <c r="U275">
        <v>17562.57</v>
      </c>
      <c r="V275">
        <v>3326</v>
      </c>
      <c r="W275">
        <v>88.1</v>
      </c>
    </row>
    <row r="276" spans="1:23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1</v>
      </c>
      <c r="R276">
        <f t="shared" si="27"/>
        <v>1</v>
      </c>
      <c r="S276">
        <f t="shared" si="28"/>
        <v>0</v>
      </c>
      <c r="T276">
        <f t="shared" si="29"/>
        <v>0</v>
      </c>
      <c r="U276">
        <v>47648.71</v>
      </c>
      <c r="V276">
        <v>5767</v>
      </c>
      <c r="W276">
        <v>89.8</v>
      </c>
    </row>
    <row r="277" spans="1:23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1</v>
      </c>
      <c r="R277">
        <f t="shared" si="27"/>
        <v>1</v>
      </c>
      <c r="S277">
        <f t="shared" si="28"/>
        <v>0</v>
      </c>
      <c r="T277">
        <f t="shared" si="29"/>
        <v>0</v>
      </c>
      <c r="U277">
        <v>38297.58</v>
      </c>
      <c r="V277">
        <v>5893</v>
      </c>
      <c r="W277">
        <v>77.599999999999994</v>
      </c>
    </row>
    <row r="278" spans="1:23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0</v>
      </c>
      <c r="S278">
        <f t="shared" si="28"/>
        <v>0</v>
      </c>
      <c r="T278">
        <f t="shared" si="29"/>
        <v>0</v>
      </c>
      <c r="U278">
        <v>61784.11</v>
      </c>
      <c r="V278">
        <v>8564</v>
      </c>
      <c r="W278">
        <v>87.4</v>
      </c>
    </row>
    <row r="279" spans="1:23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0</v>
      </c>
      <c r="S279">
        <f t="shared" si="28"/>
        <v>0</v>
      </c>
      <c r="T279">
        <f t="shared" si="29"/>
        <v>0</v>
      </c>
      <c r="U279">
        <v>36832.33</v>
      </c>
      <c r="V279">
        <v>8001</v>
      </c>
      <c r="W279">
        <v>88.7</v>
      </c>
    </row>
    <row r="280" spans="1:23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0</v>
      </c>
      <c r="S280">
        <f t="shared" si="28"/>
        <v>0</v>
      </c>
      <c r="T280">
        <f t="shared" si="29"/>
        <v>0</v>
      </c>
      <c r="U280">
        <v>48609.41</v>
      </c>
      <c r="V280">
        <v>9324</v>
      </c>
      <c r="W280">
        <v>86.5</v>
      </c>
    </row>
    <row r="281" spans="1:23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0</v>
      </c>
      <c r="S281">
        <f t="shared" si="28"/>
        <v>0</v>
      </c>
      <c r="T281">
        <f t="shared" si="29"/>
        <v>0</v>
      </c>
      <c r="U281">
        <v>70284.06</v>
      </c>
      <c r="V281">
        <v>9109</v>
      </c>
      <c r="W281">
        <v>87</v>
      </c>
    </row>
    <row r="282" spans="1:23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1</v>
      </c>
      <c r="S282">
        <f t="shared" si="28"/>
        <v>0</v>
      </c>
      <c r="T282">
        <f t="shared" si="29"/>
        <v>0</v>
      </c>
      <c r="U282">
        <v>45940.39</v>
      </c>
      <c r="V282">
        <v>4022</v>
      </c>
      <c r="W282">
        <v>83</v>
      </c>
    </row>
    <row r="283" spans="1:23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1</v>
      </c>
      <c r="S283">
        <f t="shared" si="28"/>
        <v>0</v>
      </c>
      <c r="T283">
        <f t="shared" si="29"/>
        <v>0</v>
      </c>
      <c r="U283">
        <v>34771.26</v>
      </c>
      <c r="V283">
        <v>4355</v>
      </c>
      <c r="W283">
        <v>87.9</v>
      </c>
    </row>
    <row r="284" spans="1:23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1</v>
      </c>
      <c r="S284">
        <f t="shared" si="28"/>
        <v>0</v>
      </c>
      <c r="T284">
        <f t="shared" si="29"/>
        <v>0</v>
      </c>
      <c r="U284">
        <v>66104.19</v>
      </c>
      <c r="V284">
        <v>5745</v>
      </c>
      <c r="W284">
        <v>95.8</v>
      </c>
    </row>
    <row r="285" spans="1:23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1</v>
      </c>
      <c r="S285">
        <f t="shared" si="28"/>
        <v>0</v>
      </c>
      <c r="T285">
        <f t="shared" si="29"/>
        <v>0</v>
      </c>
      <c r="U285">
        <v>18599.21</v>
      </c>
      <c r="V285">
        <v>3027</v>
      </c>
      <c r="W285">
        <v>80.900000000000006</v>
      </c>
    </row>
    <row r="286" spans="1:23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1</v>
      </c>
      <c r="R286">
        <f t="shared" si="27"/>
        <v>0</v>
      </c>
      <c r="S286">
        <f t="shared" si="28"/>
        <v>0</v>
      </c>
      <c r="T286">
        <f t="shared" si="29"/>
        <v>0</v>
      </c>
      <c r="U286">
        <v>60183.06</v>
      </c>
      <c r="V286">
        <v>5562</v>
      </c>
      <c r="W286">
        <v>86.3</v>
      </c>
    </row>
    <row r="287" spans="1:23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1</v>
      </c>
      <c r="R287">
        <f t="shared" si="27"/>
        <v>0</v>
      </c>
      <c r="S287">
        <f t="shared" si="28"/>
        <v>0</v>
      </c>
      <c r="T287">
        <f t="shared" si="29"/>
        <v>0</v>
      </c>
      <c r="U287">
        <v>74539.14</v>
      </c>
      <c r="V287">
        <v>4487</v>
      </c>
      <c r="W287">
        <v>90.4</v>
      </c>
    </row>
    <row r="288" spans="1:23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1</v>
      </c>
      <c r="R288">
        <f t="shared" si="27"/>
        <v>0</v>
      </c>
      <c r="S288">
        <f t="shared" si="28"/>
        <v>0</v>
      </c>
      <c r="T288">
        <f t="shared" si="29"/>
        <v>0</v>
      </c>
      <c r="U288">
        <v>55371.97</v>
      </c>
      <c r="V288">
        <v>4162</v>
      </c>
      <c r="W288">
        <v>92</v>
      </c>
    </row>
    <row r="289" spans="1:23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1</v>
      </c>
      <c r="R289">
        <f t="shared" si="27"/>
        <v>0</v>
      </c>
      <c r="S289">
        <f t="shared" si="28"/>
        <v>0</v>
      </c>
      <c r="T289">
        <f t="shared" si="29"/>
        <v>0</v>
      </c>
      <c r="U289">
        <v>40928.69</v>
      </c>
      <c r="V289">
        <v>4094</v>
      </c>
      <c r="W289">
        <v>82.4</v>
      </c>
    </row>
    <row r="290" spans="1:23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4"/>
        <v>0</v>
      </c>
      <c r="P290">
        <f t="shared" si="25"/>
        <v>0</v>
      </c>
      <c r="Q290">
        <f t="shared" si="26"/>
        <v>0</v>
      </c>
      <c r="R290">
        <f t="shared" si="27"/>
        <v>0</v>
      </c>
      <c r="S290">
        <f t="shared" si="28"/>
        <v>0</v>
      </c>
      <c r="T290">
        <f t="shared" si="29"/>
        <v>0</v>
      </c>
      <c r="U290">
        <v>70012.41</v>
      </c>
      <c r="V290">
        <v>8484</v>
      </c>
      <c r="W290">
        <v>72.900000000000006</v>
      </c>
    </row>
    <row r="291" spans="1:23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4"/>
        <v>0</v>
      </c>
      <c r="P291">
        <f t="shared" si="25"/>
        <v>0</v>
      </c>
      <c r="Q291">
        <f t="shared" si="26"/>
        <v>0</v>
      </c>
      <c r="R291">
        <f t="shared" si="27"/>
        <v>0</v>
      </c>
      <c r="S291">
        <f t="shared" si="28"/>
        <v>0</v>
      </c>
      <c r="T291">
        <f t="shared" si="29"/>
        <v>0</v>
      </c>
      <c r="U291">
        <v>68909.259999999995</v>
      </c>
      <c r="V291">
        <v>7794</v>
      </c>
      <c r="W291">
        <v>89</v>
      </c>
    </row>
    <row r="292" spans="1:23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4"/>
        <v>0</v>
      </c>
      <c r="P292">
        <f t="shared" si="25"/>
        <v>0</v>
      </c>
      <c r="Q292">
        <f t="shared" si="26"/>
        <v>0</v>
      </c>
      <c r="R292">
        <f t="shared" si="27"/>
        <v>0</v>
      </c>
      <c r="S292">
        <f t="shared" si="28"/>
        <v>0</v>
      </c>
      <c r="T292">
        <f t="shared" si="29"/>
        <v>0</v>
      </c>
      <c r="U292">
        <v>56737.3</v>
      </c>
      <c r="V292">
        <v>8300</v>
      </c>
      <c r="W292">
        <v>83.2</v>
      </c>
    </row>
    <row r="293" spans="1:23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4"/>
        <v>0</v>
      </c>
      <c r="P293">
        <f t="shared" si="25"/>
        <v>0</v>
      </c>
      <c r="Q293">
        <f t="shared" si="26"/>
        <v>0</v>
      </c>
      <c r="R293">
        <f t="shared" si="27"/>
        <v>0</v>
      </c>
      <c r="S293">
        <f t="shared" si="28"/>
        <v>0</v>
      </c>
      <c r="T293">
        <f t="shared" si="29"/>
        <v>0</v>
      </c>
      <c r="U293">
        <v>54080.91</v>
      </c>
      <c r="V293">
        <v>7083</v>
      </c>
      <c r="W293">
        <v>97</v>
      </c>
    </row>
    <row r="294" spans="1:23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1</v>
      </c>
      <c r="R294">
        <f t="shared" si="27"/>
        <v>1</v>
      </c>
      <c r="S294">
        <f t="shared" si="28"/>
        <v>0</v>
      </c>
      <c r="T294">
        <f t="shared" si="29"/>
        <v>0</v>
      </c>
      <c r="U294">
        <v>51996.32</v>
      </c>
      <c r="V294">
        <v>3834</v>
      </c>
      <c r="W294">
        <v>86.7</v>
      </c>
    </row>
    <row r="295" spans="1:23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1</v>
      </c>
      <c r="R295">
        <f t="shared" si="27"/>
        <v>1</v>
      </c>
      <c r="S295">
        <f t="shared" si="28"/>
        <v>0</v>
      </c>
      <c r="T295">
        <f t="shared" si="29"/>
        <v>0</v>
      </c>
      <c r="U295">
        <v>40102.879999999997</v>
      </c>
      <c r="V295">
        <v>2358</v>
      </c>
      <c r="W295">
        <v>88.7</v>
      </c>
    </row>
    <row r="296" spans="1:23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1</v>
      </c>
      <c r="R296">
        <f t="shared" si="27"/>
        <v>1</v>
      </c>
      <c r="S296">
        <f t="shared" si="28"/>
        <v>0</v>
      </c>
      <c r="T296">
        <f t="shared" si="29"/>
        <v>0</v>
      </c>
      <c r="U296">
        <v>59825.51</v>
      </c>
      <c r="V296">
        <v>1231</v>
      </c>
      <c r="W296">
        <v>84.8</v>
      </c>
    </row>
    <row r="297" spans="1:23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1</v>
      </c>
      <c r="R297">
        <f t="shared" si="27"/>
        <v>1</v>
      </c>
      <c r="S297">
        <f t="shared" si="28"/>
        <v>0</v>
      </c>
      <c r="T297">
        <f t="shared" si="29"/>
        <v>0</v>
      </c>
      <c r="U297">
        <v>27398.28</v>
      </c>
      <c r="V297">
        <v>1723</v>
      </c>
      <c r="W297">
        <v>81</v>
      </c>
    </row>
    <row r="298" spans="1:23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1</v>
      </c>
      <c r="R298">
        <f t="shared" si="27"/>
        <v>1</v>
      </c>
      <c r="S298">
        <f t="shared" si="28"/>
        <v>0</v>
      </c>
      <c r="T298">
        <f t="shared" si="29"/>
        <v>0</v>
      </c>
      <c r="U298">
        <v>55599.56</v>
      </c>
      <c r="V298">
        <v>5896</v>
      </c>
      <c r="W298">
        <v>93.1</v>
      </c>
    </row>
    <row r="299" spans="1:23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1</v>
      </c>
      <c r="R299">
        <f t="shared" si="27"/>
        <v>1</v>
      </c>
      <c r="S299">
        <f t="shared" si="28"/>
        <v>0</v>
      </c>
      <c r="T299">
        <f t="shared" si="29"/>
        <v>0</v>
      </c>
      <c r="U299">
        <v>55477.61</v>
      </c>
      <c r="V299">
        <v>5903</v>
      </c>
      <c r="W299">
        <v>96.2</v>
      </c>
    </row>
    <row r="300" spans="1:23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1</v>
      </c>
      <c r="R300">
        <f t="shared" si="27"/>
        <v>1</v>
      </c>
      <c r="S300">
        <f t="shared" si="28"/>
        <v>0</v>
      </c>
      <c r="T300">
        <f t="shared" si="29"/>
        <v>0</v>
      </c>
      <c r="U300">
        <v>46174.7</v>
      </c>
      <c r="V300">
        <v>4898</v>
      </c>
      <c r="W300">
        <v>91.7</v>
      </c>
    </row>
    <row r="301" spans="1:23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1</v>
      </c>
      <c r="R301">
        <f t="shared" si="27"/>
        <v>1</v>
      </c>
      <c r="S301">
        <f t="shared" si="28"/>
        <v>0</v>
      </c>
      <c r="T301">
        <f t="shared" si="29"/>
        <v>0</v>
      </c>
      <c r="U301">
        <v>24362.98</v>
      </c>
      <c r="V301">
        <v>1462</v>
      </c>
      <c r="W301">
        <v>89.3</v>
      </c>
    </row>
    <row r="302" spans="1:23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0</v>
      </c>
      <c r="T302">
        <f t="shared" si="29"/>
        <v>1</v>
      </c>
      <c r="U302">
        <v>40647.67</v>
      </c>
      <c r="V302">
        <v>8252</v>
      </c>
      <c r="W302">
        <v>88.2</v>
      </c>
    </row>
    <row r="303" spans="1:23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0</v>
      </c>
      <c r="T303">
        <f t="shared" si="29"/>
        <v>1</v>
      </c>
      <c r="U303">
        <v>63986.98</v>
      </c>
      <c r="V303">
        <v>7989</v>
      </c>
      <c r="W303">
        <v>83.3</v>
      </c>
    </row>
    <row r="304" spans="1:23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0</v>
      </c>
      <c r="T304">
        <f t="shared" si="29"/>
        <v>1</v>
      </c>
      <c r="U304">
        <v>52843.75</v>
      </c>
      <c r="V304">
        <v>8268</v>
      </c>
      <c r="W304">
        <v>87.3</v>
      </c>
    </row>
    <row r="305" spans="1:23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0</v>
      </c>
      <c r="T305">
        <f t="shared" si="29"/>
        <v>1</v>
      </c>
      <c r="U305">
        <v>31997.25</v>
      </c>
      <c r="V305">
        <v>8183</v>
      </c>
      <c r="W305">
        <v>93</v>
      </c>
    </row>
    <row r="306" spans="1:23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0</v>
      </c>
      <c r="S306">
        <f t="shared" si="28"/>
        <v>0</v>
      </c>
      <c r="T306">
        <f t="shared" si="29"/>
        <v>0</v>
      </c>
      <c r="U306">
        <v>54948.02</v>
      </c>
      <c r="V306">
        <v>6534</v>
      </c>
      <c r="W306">
        <v>94.5</v>
      </c>
    </row>
    <row r="307" spans="1:23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0</v>
      </c>
      <c r="S307">
        <f t="shared" si="28"/>
        <v>0</v>
      </c>
      <c r="T307">
        <f t="shared" si="29"/>
        <v>0</v>
      </c>
      <c r="U307">
        <v>46146.239999999998</v>
      </c>
      <c r="V307">
        <v>5804</v>
      </c>
      <c r="W307">
        <v>86.9</v>
      </c>
    </row>
    <row r="308" spans="1:23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0</v>
      </c>
      <c r="S308">
        <f t="shared" si="28"/>
        <v>0</v>
      </c>
      <c r="T308">
        <f t="shared" si="29"/>
        <v>0</v>
      </c>
      <c r="U308">
        <v>22387.26</v>
      </c>
      <c r="V308">
        <v>6301</v>
      </c>
      <c r="W308">
        <v>85.9</v>
      </c>
    </row>
    <row r="309" spans="1:23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0</v>
      </c>
      <c r="S309">
        <f t="shared" si="28"/>
        <v>0</v>
      </c>
      <c r="T309">
        <f t="shared" si="29"/>
        <v>0</v>
      </c>
      <c r="U309">
        <v>60684.05</v>
      </c>
      <c r="V309">
        <v>6399</v>
      </c>
      <c r="W309">
        <v>99</v>
      </c>
    </row>
    <row r="310" spans="1:23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1</v>
      </c>
      <c r="S310">
        <f t="shared" si="28"/>
        <v>0</v>
      </c>
      <c r="T310">
        <f t="shared" si="29"/>
        <v>0</v>
      </c>
      <c r="U310">
        <v>48465.599999999999</v>
      </c>
      <c r="V310">
        <v>5759</v>
      </c>
      <c r="W310">
        <v>87.5</v>
      </c>
    </row>
    <row r="311" spans="1:23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1</v>
      </c>
      <c r="S311">
        <f t="shared" si="28"/>
        <v>0</v>
      </c>
      <c r="T311">
        <f t="shared" si="29"/>
        <v>0</v>
      </c>
      <c r="U311">
        <v>23702.38</v>
      </c>
      <c r="V311">
        <v>5285</v>
      </c>
      <c r="W311">
        <v>79.7</v>
      </c>
    </row>
    <row r="312" spans="1:23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1</v>
      </c>
      <c r="S312">
        <f t="shared" si="28"/>
        <v>0</v>
      </c>
      <c r="T312">
        <f t="shared" si="29"/>
        <v>0</v>
      </c>
      <c r="U312">
        <v>54322.94</v>
      </c>
      <c r="V312">
        <v>5434</v>
      </c>
      <c r="W312">
        <v>85.7</v>
      </c>
    </row>
    <row r="313" spans="1:23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1</v>
      </c>
      <c r="S313">
        <f t="shared" si="28"/>
        <v>0</v>
      </c>
      <c r="T313">
        <f t="shared" si="29"/>
        <v>0</v>
      </c>
      <c r="U313">
        <v>86026.58</v>
      </c>
      <c r="V313">
        <v>7479</v>
      </c>
      <c r="W313">
        <v>89</v>
      </c>
    </row>
    <row r="314" spans="1:23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0</v>
      </c>
      <c r="S314">
        <f t="shared" si="28"/>
        <v>0</v>
      </c>
      <c r="T314">
        <f t="shared" si="29"/>
        <v>0</v>
      </c>
      <c r="U314">
        <v>78967.520000000004</v>
      </c>
      <c r="V314">
        <v>6164</v>
      </c>
      <c r="W314">
        <v>85.5</v>
      </c>
    </row>
    <row r="315" spans="1:23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0</v>
      </c>
      <c r="S315">
        <f t="shared" si="28"/>
        <v>0</v>
      </c>
      <c r="T315">
        <f t="shared" si="29"/>
        <v>0</v>
      </c>
      <c r="U315">
        <v>46767.99</v>
      </c>
      <c r="V315">
        <v>7973</v>
      </c>
      <c r="W315">
        <v>94.8</v>
      </c>
    </row>
    <row r="316" spans="1:23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0</v>
      </c>
      <c r="S316">
        <f t="shared" si="28"/>
        <v>0</v>
      </c>
      <c r="T316">
        <f t="shared" si="29"/>
        <v>0</v>
      </c>
      <c r="U316">
        <v>62507.16</v>
      </c>
      <c r="V316">
        <v>6000</v>
      </c>
      <c r="W316">
        <v>98.2</v>
      </c>
    </row>
    <row r="317" spans="1:23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0</v>
      </c>
      <c r="S317">
        <f t="shared" si="28"/>
        <v>0</v>
      </c>
      <c r="T317">
        <f t="shared" si="29"/>
        <v>0</v>
      </c>
      <c r="U317">
        <v>66456.28</v>
      </c>
      <c r="V317">
        <v>9967</v>
      </c>
      <c r="W317">
        <v>94.7</v>
      </c>
    </row>
    <row r="318" spans="1:23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4"/>
        <v>0</v>
      </c>
      <c r="P318">
        <f t="shared" si="25"/>
        <v>0</v>
      </c>
      <c r="Q318">
        <f t="shared" si="26"/>
        <v>0</v>
      </c>
      <c r="R318">
        <f t="shared" si="27"/>
        <v>0</v>
      </c>
      <c r="S318">
        <f t="shared" si="28"/>
        <v>0</v>
      </c>
      <c r="T318">
        <f t="shared" si="29"/>
        <v>0</v>
      </c>
      <c r="U318">
        <v>76614.320000000007</v>
      </c>
      <c r="V318">
        <v>5639</v>
      </c>
      <c r="W318">
        <v>92.9</v>
      </c>
    </row>
    <row r="319" spans="1:23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4"/>
        <v>0</v>
      </c>
      <c r="P319">
        <f t="shared" si="25"/>
        <v>0</v>
      </c>
      <c r="Q319">
        <f t="shared" si="26"/>
        <v>0</v>
      </c>
      <c r="R319">
        <f t="shared" si="27"/>
        <v>0</v>
      </c>
      <c r="S319">
        <f t="shared" si="28"/>
        <v>0</v>
      </c>
      <c r="T319">
        <f t="shared" si="29"/>
        <v>0</v>
      </c>
      <c r="U319">
        <v>24088.06</v>
      </c>
      <c r="V319">
        <v>3466</v>
      </c>
      <c r="W319">
        <v>88</v>
      </c>
    </row>
    <row r="320" spans="1:23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4"/>
        <v>0</v>
      </c>
      <c r="P320">
        <f t="shared" si="25"/>
        <v>0</v>
      </c>
      <c r="Q320">
        <f t="shared" si="26"/>
        <v>0</v>
      </c>
      <c r="R320">
        <f t="shared" si="27"/>
        <v>0</v>
      </c>
      <c r="S320">
        <f t="shared" si="28"/>
        <v>0</v>
      </c>
      <c r="T320">
        <f t="shared" si="29"/>
        <v>0</v>
      </c>
      <c r="U320">
        <v>81902.58</v>
      </c>
      <c r="V320">
        <v>7775</v>
      </c>
      <c r="W320">
        <v>85.2</v>
      </c>
    </row>
    <row r="321" spans="1:23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4"/>
        <v>0</v>
      </c>
      <c r="P321">
        <f t="shared" si="25"/>
        <v>0</v>
      </c>
      <c r="Q321">
        <f t="shared" si="26"/>
        <v>0</v>
      </c>
      <c r="R321">
        <f t="shared" si="27"/>
        <v>0</v>
      </c>
      <c r="S321">
        <f t="shared" si="28"/>
        <v>0</v>
      </c>
      <c r="T321">
        <f t="shared" si="29"/>
        <v>0</v>
      </c>
      <c r="U321">
        <v>40553.11</v>
      </c>
      <c r="V321">
        <v>5317</v>
      </c>
      <c r="W321">
        <v>84.3</v>
      </c>
    </row>
  </sheetData>
  <autoFilter ref="A1:N321" xr:uid="{CE946BED-0805-4DA7-807C-A1F420D3E54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511C-A18D-4A7F-9627-F2F71A430566}">
  <dimension ref="A1:I344"/>
  <sheetViews>
    <sheetView topLeftCell="A9" zoomScale="91" workbookViewId="0">
      <selection activeCell="L20" sqref="L20"/>
    </sheetView>
  </sheetViews>
  <sheetFormatPr defaultRowHeight="14.6"/>
  <sheetData>
    <row r="1" spans="1:9">
      <c r="A1" t="s">
        <v>108</v>
      </c>
    </row>
    <row r="2" spans="1:9" ht="15" thickBot="1"/>
    <row r="3" spans="1:9">
      <c r="A3" s="6" t="s">
        <v>109</v>
      </c>
      <c r="B3" s="6"/>
    </row>
    <row r="4" spans="1:9">
      <c r="A4" s="3" t="s">
        <v>110</v>
      </c>
      <c r="B4" s="3">
        <v>0.40895561021322352</v>
      </c>
    </row>
    <row r="5" spans="1:9">
      <c r="A5" s="3" t="s">
        <v>111</v>
      </c>
      <c r="B5" s="3">
        <v>0.16724469112487</v>
      </c>
    </row>
    <row r="6" spans="1:9">
      <c r="A6" s="3" t="s">
        <v>112</v>
      </c>
      <c r="B6" s="3">
        <v>0.16462596373847024</v>
      </c>
    </row>
    <row r="7" spans="1:9">
      <c r="A7" s="3" t="s">
        <v>113</v>
      </c>
      <c r="B7" s="3">
        <v>94846.03383215853</v>
      </c>
    </row>
    <row r="8" spans="1:9" ht="15" thickBot="1">
      <c r="A8" s="4" t="s">
        <v>114</v>
      </c>
      <c r="B8" s="4">
        <v>320</v>
      </c>
    </row>
    <row r="10" spans="1:9" ht="15" thickBot="1">
      <c r="A10" t="s">
        <v>115</v>
      </c>
    </row>
    <row r="11" spans="1:9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s="3" t="s">
        <v>116</v>
      </c>
      <c r="B12" s="3">
        <v>1</v>
      </c>
      <c r="C12" s="3">
        <v>574513714277.01416</v>
      </c>
      <c r="D12" s="3">
        <v>574513714277.01416</v>
      </c>
      <c r="E12" s="3">
        <v>63.864872683367629</v>
      </c>
      <c r="F12" s="3">
        <v>2.4800615101359619E-14</v>
      </c>
    </row>
    <row r="13" spans="1:9">
      <c r="A13" s="3" t="s">
        <v>117</v>
      </c>
      <c r="B13" s="3">
        <v>318</v>
      </c>
      <c r="C13" s="3">
        <v>2860654902513.7251</v>
      </c>
      <c r="D13" s="3">
        <v>8995770133.6909599</v>
      </c>
      <c r="E13" s="3"/>
      <c r="F13" s="3"/>
    </row>
    <row r="14" spans="1:9" ht="15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s="3" t="s">
        <v>119</v>
      </c>
      <c r="B17" s="3">
        <v>560777.34544943704</v>
      </c>
      <c r="C17" s="3">
        <v>15906.905953068674</v>
      </c>
      <c r="D17" s="3">
        <v>35.253703460870398</v>
      </c>
      <c r="E17" s="3">
        <v>6.952876876284135E-112</v>
      </c>
      <c r="F17" s="3">
        <v>529481.27234763221</v>
      </c>
      <c r="G17" s="3">
        <v>592073.41855124186</v>
      </c>
      <c r="H17" s="3">
        <v>529481.27234763221</v>
      </c>
      <c r="I17" s="3">
        <v>592073.41855124186</v>
      </c>
    </row>
    <row r="18" spans="1:9" ht="15" thickBot="1">
      <c r="A18" s="4" t="s">
        <v>4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2.6538587374874822</v>
      </c>
      <c r="H18" s="4">
        <v>1.6052919176921738</v>
      </c>
      <c r="I18" s="4">
        <v>2.6538587374874822</v>
      </c>
    </row>
    <row r="22" spans="1:9">
      <c r="A22" t="s">
        <v>132</v>
      </c>
    </row>
    <row r="23" spans="1:9" ht="15" thickBot="1"/>
    <row r="24" spans="1:9">
      <c r="A24" s="5" t="s">
        <v>133</v>
      </c>
      <c r="B24" s="5" t="s">
        <v>134</v>
      </c>
      <c r="C24" s="5" t="s">
        <v>135</v>
      </c>
    </row>
    <row r="25" spans="1:9">
      <c r="A25" s="3">
        <v>1</v>
      </c>
      <c r="B25" s="3">
        <v>710676.25743644347</v>
      </c>
      <c r="C25" s="3">
        <v>-51843.637436443474</v>
      </c>
    </row>
    <row r="26" spans="1:9">
      <c r="A26" s="3">
        <v>2</v>
      </c>
      <c r="B26" s="3">
        <v>654112.13865375798</v>
      </c>
      <c r="C26" s="3">
        <v>-19676.138653757982</v>
      </c>
    </row>
    <row r="27" spans="1:9">
      <c r="A27" s="3">
        <v>3</v>
      </c>
      <c r="B27" s="3">
        <v>688385.22583544278</v>
      </c>
      <c r="C27" s="3">
        <v>-9663.16583544272</v>
      </c>
    </row>
    <row r="28" spans="1:9">
      <c r="A28" s="3">
        <v>4</v>
      </c>
      <c r="B28" s="3">
        <v>681857.82190734067</v>
      </c>
      <c r="C28" s="3">
        <v>-22937.521907340619</v>
      </c>
    </row>
    <row r="29" spans="1:9">
      <c r="A29" s="3">
        <v>5</v>
      </c>
      <c r="B29" s="3">
        <v>663875.7091369254</v>
      </c>
      <c r="C29" s="3">
        <v>77465.730863074539</v>
      </c>
    </row>
    <row r="30" spans="1:9">
      <c r="A30" s="3">
        <v>6</v>
      </c>
      <c r="B30" s="3">
        <v>698797.69921668014</v>
      </c>
      <c r="C30" s="3">
        <v>63037.640783319832</v>
      </c>
    </row>
    <row r="31" spans="1:9">
      <c r="A31" s="3">
        <v>7</v>
      </c>
      <c r="B31" s="3">
        <v>659192.36837224313</v>
      </c>
      <c r="C31" s="3">
        <v>147423.17162775691</v>
      </c>
    </row>
    <row r="32" spans="1:9">
      <c r="A32" s="3">
        <v>8</v>
      </c>
      <c r="B32" s="3">
        <v>705904.752253199</v>
      </c>
      <c r="C32" s="3">
        <v>144259.50774680101</v>
      </c>
    </row>
    <row r="33" spans="1:3">
      <c r="A33" s="3">
        <v>9</v>
      </c>
      <c r="B33" s="3">
        <v>713763.60926761688</v>
      </c>
      <c r="C33" s="3">
        <v>216818.09073238308</v>
      </c>
    </row>
    <row r="34" spans="1:3">
      <c r="A34" s="3">
        <v>10</v>
      </c>
      <c r="B34" s="3">
        <v>705872.63825725892</v>
      </c>
      <c r="C34" s="3">
        <v>73138.301742741023</v>
      </c>
    </row>
    <row r="35" spans="1:3">
      <c r="A35" s="3">
        <v>11</v>
      </c>
      <c r="B35" s="3">
        <v>633790.28276667313</v>
      </c>
      <c r="C35" s="3">
        <v>89270.477233326877</v>
      </c>
    </row>
    <row r="36" spans="1:3">
      <c r="A36" s="3">
        <v>12</v>
      </c>
      <c r="B36" s="3">
        <v>705545.62066995422</v>
      </c>
      <c r="C36" s="3">
        <v>205246.31933004572</v>
      </c>
    </row>
    <row r="37" spans="1:3">
      <c r="A37" s="3">
        <v>13</v>
      </c>
      <c r="B37" s="3">
        <v>713741.03576914431</v>
      </c>
      <c r="C37" s="3">
        <v>208427.56423085567</v>
      </c>
    </row>
    <row r="38" spans="1:3">
      <c r="A38" s="3">
        <v>14</v>
      </c>
      <c r="B38" s="3">
        <v>679430.51065320056</v>
      </c>
      <c r="C38" s="3">
        <v>47175.769346799469</v>
      </c>
    </row>
    <row r="39" spans="1:3">
      <c r="A39" s="3">
        <v>15</v>
      </c>
      <c r="B39" s="3">
        <v>688359.15983343311</v>
      </c>
      <c r="C39" s="3">
        <v>58141.930166566861</v>
      </c>
    </row>
    <row r="40" spans="1:3">
      <c r="A40" s="3">
        <v>16</v>
      </c>
      <c r="B40" s="3">
        <v>721146.52749207162</v>
      </c>
      <c r="C40" s="3">
        <v>112870.4925079284</v>
      </c>
    </row>
    <row r="41" spans="1:3">
      <c r="A41" s="3">
        <v>17</v>
      </c>
      <c r="B41" s="3">
        <v>664709.60824370314</v>
      </c>
      <c r="C41" s="3">
        <v>1442.911756296875</v>
      </c>
    </row>
    <row r="42" spans="1:3">
      <c r="A42" s="3">
        <v>18</v>
      </c>
      <c r="B42" s="3">
        <v>686673.36670835968</v>
      </c>
      <c r="C42" s="3">
        <v>-113518.17670835974</v>
      </c>
    </row>
    <row r="43" spans="1:3">
      <c r="A43" s="3">
        <v>19</v>
      </c>
      <c r="B43" s="3">
        <v>728654.1536477101</v>
      </c>
      <c r="C43" s="3">
        <v>-62080.95364771015</v>
      </c>
    </row>
    <row r="44" spans="1:3">
      <c r="A44" s="3">
        <v>20</v>
      </c>
      <c r="B44" s="3">
        <v>649031.05710514181</v>
      </c>
      <c r="C44" s="3">
        <v>-57411.107105141855</v>
      </c>
    </row>
    <row r="45" spans="1:3">
      <c r="A45" s="3">
        <v>21</v>
      </c>
      <c r="B45" s="3">
        <v>625423.33037484554</v>
      </c>
      <c r="C45" s="3">
        <v>-209701.51037484553</v>
      </c>
    </row>
    <row r="46" spans="1:3">
      <c r="A46" s="3">
        <v>22</v>
      </c>
      <c r="B46" s="3">
        <v>632158.32530588121</v>
      </c>
      <c r="C46" s="3">
        <v>-140253.19530588121</v>
      </c>
    </row>
    <row r="47" spans="1:3">
      <c r="A47" s="3">
        <v>23</v>
      </c>
      <c r="B47" s="3">
        <v>650788.89376354753</v>
      </c>
      <c r="C47" s="3">
        <v>-94859.493763547507</v>
      </c>
    </row>
    <row r="48" spans="1:3">
      <c r="A48" s="3">
        <v>24</v>
      </c>
      <c r="B48" s="3">
        <v>692939.7059970526</v>
      </c>
      <c r="C48" s="3">
        <v>-127128.71599705261</v>
      </c>
    </row>
    <row r="49" spans="1:3">
      <c r="A49" s="3">
        <v>25</v>
      </c>
      <c r="B49" s="3">
        <v>683646.79295703582</v>
      </c>
      <c r="C49" s="3">
        <v>128124.34704296419</v>
      </c>
    </row>
    <row r="50" spans="1:3">
      <c r="A50" s="3">
        <v>26</v>
      </c>
      <c r="B50" s="3">
        <v>927949.18293500762</v>
      </c>
      <c r="C50" s="3">
        <v>-127497.24293500767</v>
      </c>
    </row>
    <row r="51" spans="1:3">
      <c r="A51" s="3">
        <v>27</v>
      </c>
      <c r="B51" s="3">
        <v>678480.08118449722</v>
      </c>
      <c r="C51" s="3">
        <v>105192.73881550273</v>
      </c>
    </row>
    <row r="52" spans="1:3">
      <c r="A52" s="3">
        <v>28</v>
      </c>
      <c r="B52" s="3">
        <v>673038.12180086761</v>
      </c>
      <c r="C52" s="3">
        <v>28603.848199132364</v>
      </c>
    </row>
    <row r="53" spans="1:3">
      <c r="A53" s="3">
        <v>29</v>
      </c>
      <c r="B53" s="3">
        <v>706867.53325880237</v>
      </c>
      <c r="C53" s="3">
        <v>-195023.1232588024</v>
      </c>
    </row>
    <row r="54" spans="1:3">
      <c r="A54" s="3">
        <v>30</v>
      </c>
      <c r="B54" s="3">
        <v>695316.95093524118</v>
      </c>
      <c r="C54" s="3">
        <v>-157933.16093524115</v>
      </c>
    </row>
    <row r="55" spans="1:3">
      <c r="A55" s="3">
        <v>31</v>
      </c>
      <c r="B55" s="3">
        <v>656544.51829717786</v>
      </c>
      <c r="C55" s="3">
        <v>-156371.49829717784</v>
      </c>
    </row>
    <row r="56" spans="1:3">
      <c r="A56" s="3">
        <v>32</v>
      </c>
      <c r="B56" s="3">
        <v>709456.52187181311</v>
      </c>
      <c r="C56" s="3">
        <v>-281539.1418718131</v>
      </c>
    </row>
    <row r="57" spans="1:3">
      <c r="A57" s="3">
        <v>33</v>
      </c>
      <c r="B57" s="3">
        <v>677047.53715738084</v>
      </c>
      <c r="C57" s="3">
        <v>-35182.507157380809</v>
      </c>
    </row>
    <row r="58" spans="1:3">
      <c r="A58" s="3">
        <v>34</v>
      </c>
      <c r="B58" s="3">
        <v>717880.18485461432</v>
      </c>
      <c r="C58" s="3">
        <v>81597.575145385694</v>
      </c>
    </row>
    <row r="59" spans="1:3">
      <c r="A59" s="3">
        <v>35</v>
      </c>
      <c r="B59" s="3">
        <v>719247.30832766718</v>
      </c>
      <c r="C59" s="3">
        <v>79704.86167233286</v>
      </c>
    </row>
    <row r="60" spans="1:3">
      <c r="A60" s="3">
        <v>36</v>
      </c>
      <c r="B60" s="3">
        <v>672545.48714033619</v>
      </c>
      <c r="C60" s="3">
        <v>128434.29285966384</v>
      </c>
    </row>
    <row r="61" spans="1:3">
      <c r="A61" s="3">
        <v>37</v>
      </c>
      <c r="B61" s="3">
        <v>721070.20351233077</v>
      </c>
      <c r="C61" s="3">
        <v>99523.726487669279</v>
      </c>
    </row>
    <row r="62" spans="1:3">
      <c r="A62" s="3">
        <v>38</v>
      </c>
      <c r="B62" s="3">
        <v>691204.05951356038</v>
      </c>
      <c r="C62" s="3">
        <v>27126.470486439648</v>
      </c>
    </row>
    <row r="63" spans="1:3">
      <c r="A63" s="3">
        <v>39</v>
      </c>
      <c r="B63" s="3">
        <v>759639.77280468796</v>
      </c>
      <c r="C63" s="3">
        <v>-23006.372804687941</v>
      </c>
    </row>
    <row r="64" spans="1:3">
      <c r="A64" s="3">
        <v>40</v>
      </c>
      <c r="B64" s="3">
        <v>699225.70126601914</v>
      </c>
      <c r="C64" s="3">
        <v>129398.14873398084</v>
      </c>
    </row>
    <row r="65" spans="1:3">
      <c r="A65" s="3">
        <v>41</v>
      </c>
      <c r="B65" s="3">
        <v>646946.22415518458</v>
      </c>
      <c r="C65" s="3">
        <v>-54750.374155184603</v>
      </c>
    </row>
    <row r="66" spans="1:3">
      <c r="A66" s="3">
        <v>42</v>
      </c>
      <c r="B66" s="3">
        <v>659001.622310151</v>
      </c>
      <c r="C66" s="3">
        <v>-126357.16231015103</v>
      </c>
    </row>
    <row r="67" spans="1:3">
      <c r="A67" s="3">
        <v>43</v>
      </c>
      <c r="B67" s="3">
        <v>705753.59499644663</v>
      </c>
      <c r="C67" s="3">
        <v>-48324.414996446576</v>
      </c>
    </row>
    <row r="68" spans="1:3">
      <c r="A68" s="3">
        <v>44</v>
      </c>
      <c r="B68" s="3">
        <v>698948.74999466608</v>
      </c>
      <c r="C68" s="3">
        <v>-93770.749994666083</v>
      </c>
    </row>
    <row r="69" spans="1:3">
      <c r="A69" s="3">
        <v>45</v>
      </c>
      <c r="B69" s="3">
        <v>856480.61364533973</v>
      </c>
      <c r="C69" s="3">
        <v>-261013.01364533976</v>
      </c>
    </row>
    <row r="70" spans="1:3">
      <c r="A70" s="3">
        <v>46</v>
      </c>
      <c r="B70" s="3">
        <v>696282.67075479659</v>
      </c>
      <c r="C70" s="3">
        <v>-96679.270754796569</v>
      </c>
    </row>
    <row r="71" spans="1:3">
      <c r="A71" s="3">
        <v>47</v>
      </c>
      <c r="B71" s="3">
        <v>667349.06779197778</v>
      </c>
      <c r="C71" s="3">
        <v>-52548.977791977813</v>
      </c>
    </row>
    <row r="72" spans="1:3">
      <c r="A72" s="3">
        <v>48</v>
      </c>
      <c r="B72" s="3">
        <v>650419.3485569508</v>
      </c>
      <c r="C72" s="3">
        <v>-65053.618556950823</v>
      </c>
    </row>
    <row r="73" spans="1:3">
      <c r="A73" s="3">
        <v>49</v>
      </c>
      <c r="B73" s="3">
        <v>660066.77200175158</v>
      </c>
      <c r="C73" s="3">
        <v>-37255.032001751591</v>
      </c>
    </row>
    <row r="74" spans="1:3">
      <c r="A74" s="3">
        <v>50</v>
      </c>
      <c r="B74" s="3">
        <v>666639.15256077237</v>
      </c>
      <c r="C74" s="3">
        <v>-63341.582560772425</v>
      </c>
    </row>
    <row r="75" spans="1:3">
      <c r="A75" s="3">
        <v>51</v>
      </c>
      <c r="B75" s="3">
        <v>663609.95943179552</v>
      </c>
      <c r="C75" s="3">
        <v>-37937.099431795534</v>
      </c>
    </row>
    <row r="76" spans="1:3">
      <c r="A76" s="3">
        <v>52</v>
      </c>
      <c r="B76" s="3">
        <v>699865.21273689438</v>
      </c>
      <c r="C76" s="3">
        <v>73949.927263105637</v>
      </c>
    </row>
    <row r="77" spans="1:3">
      <c r="A77" s="3">
        <v>53</v>
      </c>
      <c r="B77" s="3">
        <v>673677.76104626246</v>
      </c>
      <c r="C77" s="3">
        <v>-210143.51104626246</v>
      </c>
    </row>
    <row r="78" spans="1:3">
      <c r="A78" s="3">
        <v>54</v>
      </c>
      <c r="B78" s="3">
        <v>773466.57301289681</v>
      </c>
      <c r="C78" s="3">
        <v>-26788.823012896813</v>
      </c>
    </row>
    <row r="79" spans="1:3">
      <c r="A79" s="3">
        <v>55</v>
      </c>
      <c r="B79" s="3">
        <v>733689.27896075696</v>
      </c>
      <c r="C79" s="3">
        <v>-12836.778960756958</v>
      </c>
    </row>
    <row r="80" spans="1:3">
      <c r="A80" s="3">
        <v>56</v>
      </c>
      <c r="B80" s="3">
        <v>619997.85390425147</v>
      </c>
      <c r="C80" s="3">
        <v>-132532.9439042515</v>
      </c>
    </row>
    <row r="81" spans="1:3">
      <c r="A81" s="3">
        <v>57</v>
      </c>
      <c r="B81" s="3">
        <v>602016.69944273378</v>
      </c>
      <c r="C81" s="3">
        <v>-83967.439442733768</v>
      </c>
    </row>
    <row r="82" spans="1:3">
      <c r="A82" s="3">
        <v>58</v>
      </c>
      <c r="B82" s="3">
        <v>687286.21589613357</v>
      </c>
      <c r="C82" s="3">
        <v>-186987.73589613358</v>
      </c>
    </row>
    <row r="83" spans="1:3">
      <c r="A83" s="3">
        <v>59</v>
      </c>
      <c r="B83" s="3">
        <v>814006.16984930076</v>
      </c>
      <c r="C83" s="3">
        <v>-196715.01984930073</v>
      </c>
    </row>
    <row r="84" spans="1:3">
      <c r="A84" s="3">
        <v>60</v>
      </c>
      <c r="B84" s="3">
        <v>673542.87374501291</v>
      </c>
      <c r="C84" s="3">
        <v>-119786.44374501286</v>
      </c>
    </row>
    <row r="85" spans="1:3">
      <c r="A85" s="3">
        <v>61</v>
      </c>
      <c r="B85" s="3">
        <v>720299.53149702935</v>
      </c>
      <c r="C85" s="3">
        <v>29260.178502970608</v>
      </c>
    </row>
    <row r="86" spans="1:3">
      <c r="A86" s="3">
        <v>62</v>
      </c>
      <c r="B86" s="3">
        <v>640177.83748301235</v>
      </c>
      <c r="C86" s="3">
        <v>-24211.357483012369</v>
      </c>
    </row>
    <row r="87" spans="1:3">
      <c r="A87" s="3">
        <v>63</v>
      </c>
      <c r="B87" s="3">
        <v>667986.96078560397</v>
      </c>
      <c r="C87" s="3">
        <v>-95975.760785604012</v>
      </c>
    </row>
    <row r="88" spans="1:3">
      <c r="A88" s="3">
        <v>64</v>
      </c>
      <c r="B88" s="3">
        <v>720398.53545400896</v>
      </c>
      <c r="C88" s="3">
        <v>41461.654545990983</v>
      </c>
    </row>
    <row r="89" spans="1:3">
      <c r="A89" s="3">
        <v>65</v>
      </c>
      <c r="B89" s="3">
        <v>709933.46156218019</v>
      </c>
      <c r="C89" s="3">
        <v>74569.218437819858</v>
      </c>
    </row>
    <row r="90" spans="1:3">
      <c r="A90" s="3">
        <v>66</v>
      </c>
      <c r="B90" s="3">
        <v>669702.33371197758</v>
      </c>
      <c r="C90" s="3">
        <v>47439.216288022464</v>
      </c>
    </row>
    <row r="91" spans="1:3">
      <c r="A91" s="3">
        <v>67</v>
      </c>
      <c r="B91" s="3">
        <v>729750.84234991227</v>
      </c>
      <c r="C91" s="3">
        <v>-44371.762349912315</v>
      </c>
    </row>
    <row r="92" spans="1:3">
      <c r="A92" s="3">
        <v>68</v>
      </c>
      <c r="B92" s="3">
        <v>650258.69339423743</v>
      </c>
      <c r="C92" s="3">
        <v>90237.956605762593</v>
      </c>
    </row>
    <row r="93" spans="1:3">
      <c r="A93" s="3">
        <v>69</v>
      </c>
      <c r="B93" s="3">
        <v>711843.54156075534</v>
      </c>
      <c r="C93" s="3">
        <v>-49916.40156075533</v>
      </c>
    </row>
    <row r="94" spans="1:3">
      <c r="A94" s="3">
        <v>70</v>
      </c>
      <c r="B94" s="3">
        <v>639174.36029289884</v>
      </c>
      <c r="C94" s="3">
        <v>-160123.86029289884</v>
      </c>
    </row>
    <row r="95" spans="1:3">
      <c r="A95" s="3">
        <v>71</v>
      </c>
      <c r="B95" s="3">
        <v>689769.5988686491</v>
      </c>
      <c r="C95" s="3">
        <v>-84745.728868649108</v>
      </c>
    </row>
    <row r="96" spans="1:3">
      <c r="A96" s="3">
        <v>72</v>
      </c>
      <c r="B96" s="3">
        <v>678076.82480046479</v>
      </c>
      <c r="C96" s="3">
        <v>-3302.7348004648229</v>
      </c>
    </row>
    <row r="97" spans="1:3">
      <c r="A97" s="3">
        <v>73</v>
      </c>
      <c r="B97" s="3">
        <v>659166.83476406534</v>
      </c>
      <c r="C97" s="3">
        <v>-43097.424764065305</v>
      </c>
    </row>
    <row r="98" spans="1:3">
      <c r="A98" s="3">
        <v>74</v>
      </c>
      <c r="B98" s="3">
        <v>675269.53342062281</v>
      </c>
      <c r="C98" s="3">
        <v>-44439.59342062287</v>
      </c>
    </row>
    <row r="99" spans="1:3">
      <c r="A99" s="3">
        <v>75</v>
      </c>
      <c r="B99" s="3">
        <v>710155.93829665345</v>
      </c>
      <c r="C99" s="3">
        <v>77931.741703346604</v>
      </c>
    </row>
    <row r="100" spans="1:3">
      <c r="A100" s="3">
        <v>76</v>
      </c>
      <c r="B100" s="3">
        <v>685889.10800246825</v>
      </c>
      <c r="C100" s="3">
        <v>-5048.7480024682591</v>
      </c>
    </row>
    <row r="101" spans="1:3">
      <c r="A101" s="3">
        <v>77</v>
      </c>
      <c r="B101" s="3">
        <v>682106.02391177125</v>
      </c>
      <c r="C101" s="3">
        <v>-38448.553911771276</v>
      </c>
    </row>
    <row r="102" spans="1:3">
      <c r="A102" s="3">
        <v>78</v>
      </c>
      <c r="B102" s="3">
        <v>677633.14907671465</v>
      </c>
      <c r="C102" s="3">
        <v>13479.450923285331</v>
      </c>
    </row>
    <row r="103" spans="1:3">
      <c r="A103" s="3">
        <v>79</v>
      </c>
      <c r="B103" s="3">
        <v>732341.91794674413</v>
      </c>
      <c r="C103" s="3">
        <v>44580.252053255914</v>
      </c>
    </row>
    <row r="104" spans="1:3">
      <c r="A104" s="3">
        <v>80</v>
      </c>
      <c r="B104" s="3">
        <v>726884.00804391084</v>
      </c>
      <c r="C104" s="3">
        <v>-90322.668043910875</v>
      </c>
    </row>
    <row r="105" spans="1:3">
      <c r="A105" s="3">
        <v>81</v>
      </c>
      <c r="B105" s="3">
        <v>690428.04226418666</v>
      </c>
      <c r="C105" s="3">
        <v>-69058.462264186703</v>
      </c>
    </row>
    <row r="106" spans="1:3">
      <c r="A106" s="3">
        <v>82</v>
      </c>
      <c r="B106" s="3">
        <v>689890.04764917761</v>
      </c>
      <c r="C106" s="3">
        <v>-7682.0376491775969</v>
      </c>
    </row>
    <row r="107" spans="1:3">
      <c r="A107" s="3">
        <v>83</v>
      </c>
      <c r="B107" s="3">
        <v>715663.78674091864</v>
      </c>
      <c r="C107" s="3">
        <v>11578.073259081342</v>
      </c>
    </row>
    <row r="108" spans="1:3">
      <c r="A108" s="3">
        <v>84</v>
      </c>
      <c r="B108" s="3">
        <v>638455.11752175866</v>
      </c>
      <c r="C108" s="3">
        <v>-69354.337521758629</v>
      </c>
    </row>
    <row r="109" spans="1:3">
      <c r="A109" s="3">
        <v>85</v>
      </c>
      <c r="B109" s="3">
        <v>678730.49794726842</v>
      </c>
      <c r="C109" s="3">
        <v>-104294.20794726838</v>
      </c>
    </row>
    <row r="110" spans="1:3">
      <c r="A110" s="3">
        <v>86</v>
      </c>
      <c r="B110" s="3">
        <v>749125.01592046651</v>
      </c>
      <c r="C110" s="3">
        <v>-137358.29592046654</v>
      </c>
    </row>
    <row r="111" spans="1:3">
      <c r="A111" s="3">
        <v>87</v>
      </c>
      <c r="B111" s="3">
        <v>727378.09081566497</v>
      </c>
      <c r="C111" s="3">
        <v>-112781.77081566502</v>
      </c>
    </row>
    <row r="112" spans="1:3">
      <c r="A112" s="3">
        <v>88</v>
      </c>
      <c r="B112" s="3">
        <v>601231.43983643828</v>
      </c>
      <c r="C112" s="3">
        <v>-150519.5198364383</v>
      </c>
    </row>
    <row r="113" spans="1:3">
      <c r="A113" s="3">
        <v>89</v>
      </c>
      <c r="B113" s="3">
        <v>668359.10407410027</v>
      </c>
      <c r="C113" s="3">
        <v>42854.355925899697</v>
      </c>
    </row>
    <row r="114" spans="1:3">
      <c r="A114" s="3">
        <v>90</v>
      </c>
      <c r="B114" s="3">
        <v>862198.05489334627</v>
      </c>
      <c r="C114" s="3">
        <v>-235026.15489334625</v>
      </c>
    </row>
    <row r="115" spans="1:3">
      <c r="A115" s="3">
        <v>91</v>
      </c>
      <c r="B115" s="3">
        <v>735649.95766911563</v>
      </c>
      <c r="C115" s="3">
        <v>4202.6223308843328</v>
      </c>
    </row>
    <row r="116" spans="1:3">
      <c r="A116" s="3">
        <v>92</v>
      </c>
      <c r="B116" s="3">
        <v>627236.08878094982</v>
      </c>
      <c r="C116" s="3">
        <v>-40928.868780949851</v>
      </c>
    </row>
    <row r="117" spans="1:3">
      <c r="A117" s="3">
        <v>93</v>
      </c>
      <c r="B117" s="3">
        <v>643759.63411374553</v>
      </c>
      <c r="C117" s="3">
        <v>-57822.15411374555</v>
      </c>
    </row>
    <row r="118" spans="1:3">
      <c r="A118" s="3">
        <v>94</v>
      </c>
      <c r="B118" s="3">
        <v>704394.41483936575</v>
      </c>
      <c r="C118" s="3">
        <v>49079.135160634294</v>
      </c>
    </row>
    <row r="119" spans="1:3">
      <c r="A119" s="3">
        <v>95</v>
      </c>
      <c r="B119" s="3">
        <v>744819.24886136584</v>
      </c>
      <c r="C119" s="3">
        <v>93431.071138634114</v>
      </c>
    </row>
    <row r="120" spans="1:3">
      <c r="A120" s="3">
        <v>96</v>
      </c>
      <c r="B120" s="3">
        <v>581082.10084664135</v>
      </c>
      <c r="C120" s="3">
        <v>26816.019153358648</v>
      </c>
    </row>
    <row r="121" spans="1:3">
      <c r="A121" s="3">
        <v>97</v>
      </c>
      <c r="B121" s="3">
        <v>690962.69344593131</v>
      </c>
      <c r="C121" s="3">
        <v>150.92655406869017</v>
      </c>
    </row>
    <row r="122" spans="1:3">
      <c r="A122" s="3">
        <v>98</v>
      </c>
      <c r="B122" s="3">
        <v>728671.76523566921</v>
      </c>
      <c r="C122" s="3">
        <v>6837.6347643308109</v>
      </c>
    </row>
    <row r="123" spans="1:3">
      <c r="A123" s="3">
        <v>99</v>
      </c>
      <c r="B123" s="3">
        <v>643304.35220446019</v>
      </c>
      <c r="C123" s="3">
        <v>-37529.022204460227</v>
      </c>
    </row>
    <row r="124" spans="1:3">
      <c r="A124" s="3">
        <v>100</v>
      </c>
      <c r="B124" s="3">
        <v>678119.2885324969</v>
      </c>
      <c r="C124" s="3">
        <v>-2941.6085324968444</v>
      </c>
    </row>
    <row r="125" spans="1:3">
      <c r="A125" s="3">
        <v>101</v>
      </c>
      <c r="B125" s="3">
        <v>673825.3406164645</v>
      </c>
      <c r="C125" s="3">
        <v>-38643.990616464522</v>
      </c>
    </row>
    <row r="126" spans="1:3">
      <c r="A126" s="3">
        <v>102</v>
      </c>
      <c r="B126" s="3">
        <v>695156.93464512611</v>
      </c>
      <c r="C126" s="3">
        <v>-108529.99464512616</v>
      </c>
    </row>
    <row r="127" spans="1:3">
      <c r="A127" s="3">
        <v>103</v>
      </c>
      <c r="B127" s="3">
        <v>752618.8610901701</v>
      </c>
      <c r="C127" s="3">
        <v>-12516.221090170089</v>
      </c>
    </row>
    <row r="128" spans="1:3">
      <c r="A128" s="3">
        <v>104</v>
      </c>
      <c r="B128" s="3">
        <v>629491.58589766012</v>
      </c>
      <c r="C128" s="3">
        <v>-3977.5458976600785</v>
      </c>
    </row>
    <row r="129" spans="1:3">
      <c r="A129" s="3">
        <v>105</v>
      </c>
      <c r="B129" s="3">
        <v>684120.36791838519</v>
      </c>
      <c r="C129" s="3">
        <v>43106.832081614761</v>
      </c>
    </row>
    <row r="130" spans="1:3">
      <c r="A130" s="3">
        <v>106</v>
      </c>
      <c r="B130" s="3">
        <v>719812.6466898825</v>
      </c>
      <c r="C130" s="3">
        <v>63985.243310117512</v>
      </c>
    </row>
    <row r="131" spans="1:3">
      <c r="A131" s="3">
        <v>107</v>
      </c>
      <c r="B131" s="3">
        <v>697696.75136382284</v>
      </c>
      <c r="C131" s="3">
        <v>97457.088636177126</v>
      </c>
    </row>
    <row r="132" spans="1:3">
      <c r="A132" s="3">
        <v>108</v>
      </c>
      <c r="B132" s="3">
        <v>626883.68665574025</v>
      </c>
      <c r="C132" s="3">
        <v>38711.25334425969</v>
      </c>
    </row>
    <row r="133" spans="1:3">
      <c r="A133" s="3">
        <v>109</v>
      </c>
      <c r="B133" s="3">
        <v>721059.87507199205</v>
      </c>
      <c r="C133" s="3">
        <v>-11581.485071992036</v>
      </c>
    </row>
    <row r="134" spans="1:3">
      <c r="A134" s="3">
        <v>110</v>
      </c>
      <c r="B134" s="3">
        <v>708594.78921550396</v>
      </c>
      <c r="C134" s="3">
        <v>-44432.299215503968</v>
      </c>
    </row>
    <row r="135" spans="1:3">
      <c r="A135" s="3">
        <v>111</v>
      </c>
      <c r="B135" s="3">
        <v>669505.26281116251</v>
      </c>
      <c r="C135" s="3">
        <v>-36011.052811162546</v>
      </c>
    </row>
    <row r="136" spans="1:3">
      <c r="A136" s="3">
        <v>112</v>
      </c>
      <c r="B136" s="3">
        <v>673129.50187817449</v>
      </c>
      <c r="C136" s="3">
        <v>40481.658121825545</v>
      </c>
    </row>
    <row r="137" spans="1:3">
      <c r="A137" s="3">
        <v>113</v>
      </c>
      <c r="B137" s="3">
        <v>691588.72470498295</v>
      </c>
      <c r="C137" s="3">
        <v>86809.245295017026</v>
      </c>
    </row>
    <row r="138" spans="1:3">
      <c r="A138" s="3">
        <v>114</v>
      </c>
      <c r="B138" s="3">
        <v>731518.90096989041</v>
      </c>
      <c r="C138" s="3">
        <v>141861.11903010961</v>
      </c>
    </row>
    <row r="139" spans="1:3">
      <c r="A139" s="3">
        <v>115</v>
      </c>
      <c r="B139" s="3">
        <v>632342.10765665222</v>
      </c>
      <c r="C139" s="3">
        <v>64945.792343347799</v>
      </c>
    </row>
    <row r="140" spans="1:3">
      <c r="A140" s="3">
        <v>116</v>
      </c>
      <c r="B140" s="3">
        <v>616126.15818417352</v>
      </c>
      <c r="C140" s="3">
        <v>101948.63181582652</v>
      </c>
    </row>
    <row r="141" spans="1:3">
      <c r="A141" s="3">
        <v>117</v>
      </c>
      <c r="B141" s="3">
        <v>653808.1417757445</v>
      </c>
      <c r="C141" s="3">
        <v>61134.28822425555</v>
      </c>
    </row>
    <row r="142" spans="1:3">
      <c r="A142" s="3">
        <v>118</v>
      </c>
      <c r="B142" s="3">
        <v>682929.80753574288</v>
      </c>
      <c r="C142" s="3">
        <v>137589.23246425716</v>
      </c>
    </row>
    <row r="143" spans="1:3">
      <c r="A143" s="3">
        <v>119</v>
      </c>
      <c r="B143" s="3">
        <v>651104.2838695636</v>
      </c>
      <c r="C143" s="3">
        <v>33113.036130436347</v>
      </c>
    </row>
    <row r="144" spans="1:3">
      <c r="A144" s="3">
        <v>120</v>
      </c>
      <c r="B144" s="3">
        <v>677837.92904021579</v>
      </c>
      <c r="C144" s="3">
        <v>57642.260959784151</v>
      </c>
    </row>
    <row r="145" spans="1:3">
      <c r="A145" s="3">
        <v>121</v>
      </c>
      <c r="B145" s="3">
        <v>654257.46087411267</v>
      </c>
      <c r="C145" s="3">
        <v>-144772.65087411267</v>
      </c>
    </row>
    <row r="146" spans="1:3">
      <c r="A146" s="3">
        <v>122</v>
      </c>
      <c r="B146" s="3">
        <v>737626.1609816124</v>
      </c>
      <c r="C146" s="3">
        <v>-83309.070981612429</v>
      </c>
    </row>
    <row r="147" spans="1:3">
      <c r="A147" s="3">
        <v>123</v>
      </c>
      <c r="B147" s="3">
        <v>663840.54984826688</v>
      </c>
      <c r="C147" s="3">
        <v>-106353.28984826687</v>
      </c>
    </row>
    <row r="148" spans="1:3">
      <c r="A148" s="3">
        <v>124</v>
      </c>
      <c r="B148" s="3">
        <v>601374.46211543912</v>
      </c>
      <c r="C148" s="3">
        <v>-160099.04211543914</v>
      </c>
    </row>
    <row r="149" spans="1:3">
      <c r="A149" s="3">
        <v>125</v>
      </c>
      <c r="B149" s="3">
        <v>691833.9878954615</v>
      </c>
      <c r="C149" s="3">
        <v>222710.18210453854</v>
      </c>
    </row>
    <row r="150" spans="1:3">
      <c r="A150" s="3">
        <v>126</v>
      </c>
      <c r="B150" s="3">
        <v>656069.45263309905</v>
      </c>
      <c r="C150" s="3">
        <v>186370.21736690099</v>
      </c>
    </row>
    <row r="151" spans="1:3">
      <c r="A151" s="3">
        <v>127</v>
      </c>
      <c r="B151" s="3">
        <v>681136.47085662617</v>
      </c>
      <c r="C151" s="3">
        <v>161021.44914337387</v>
      </c>
    </row>
    <row r="152" spans="1:3">
      <c r="A152" s="3">
        <v>128</v>
      </c>
      <c r="B152" s="3">
        <v>641335.98572916887</v>
      </c>
      <c r="C152" s="3">
        <v>55819.314270831179</v>
      </c>
    </row>
    <row r="153" spans="1:3">
      <c r="A153" s="3">
        <v>129</v>
      </c>
      <c r="B153" s="3">
        <v>701862.83957718674</v>
      </c>
      <c r="C153" s="3">
        <v>147155.46042281331</v>
      </c>
    </row>
    <row r="154" spans="1:3">
      <c r="A154" s="3">
        <v>130</v>
      </c>
      <c r="B154" s="3">
        <v>706463.57411491184</v>
      </c>
      <c r="C154" s="3">
        <v>95366.775885088136</v>
      </c>
    </row>
    <row r="155" spans="1:3">
      <c r="A155" s="3">
        <v>131</v>
      </c>
      <c r="B155" s="3">
        <v>668822.69132716337</v>
      </c>
      <c r="C155" s="3">
        <v>56412.58867283666</v>
      </c>
    </row>
    <row r="156" spans="1:3">
      <c r="A156" s="3">
        <v>132</v>
      </c>
      <c r="B156" s="3">
        <v>702299.9775046811</v>
      </c>
      <c r="C156" s="3">
        <v>109152.74249531887</v>
      </c>
    </row>
    <row r="157" spans="1:3">
      <c r="A157" s="3">
        <v>133</v>
      </c>
      <c r="B157" s="3">
        <v>710435.97745223157</v>
      </c>
      <c r="C157" s="3">
        <v>-183135.84745223157</v>
      </c>
    </row>
    <row r="158" spans="1:3">
      <c r="A158" s="3">
        <v>134</v>
      </c>
      <c r="B158" s="3">
        <v>607780.56543288182</v>
      </c>
      <c r="C158" s="3">
        <v>-206948.9154328818</v>
      </c>
    </row>
    <row r="159" spans="1:3">
      <c r="A159" s="3">
        <v>135</v>
      </c>
      <c r="B159" s="3">
        <v>672123.14976136864</v>
      </c>
      <c r="C159" s="3">
        <v>-78875.899761368637</v>
      </c>
    </row>
    <row r="160" spans="1:3">
      <c r="A160" s="3">
        <v>136</v>
      </c>
      <c r="B160" s="3">
        <v>710628.66142787179</v>
      </c>
      <c r="C160" s="3">
        <v>-181552.71142787184</v>
      </c>
    </row>
    <row r="161" spans="1:3">
      <c r="A161" s="3">
        <v>137</v>
      </c>
      <c r="B161" s="3">
        <v>712660.06333285978</v>
      </c>
      <c r="C161" s="3">
        <v>-79022.033332859748</v>
      </c>
    </row>
    <row r="162" spans="1:3">
      <c r="A162" s="3">
        <v>138</v>
      </c>
      <c r="B162" s="3">
        <v>720729.04554485087</v>
      </c>
      <c r="C162" s="3">
        <v>22619.794455149095</v>
      </c>
    </row>
    <row r="163" spans="1:3">
      <c r="A163" s="3">
        <v>139</v>
      </c>
      <c r="B163" s="3">
        <v>709376.9822333277</v>
      </c>
      <c r="C163" s="3">
        <v>49450.657766672317</v>
      </c>
    </row>
    <row r="164" spans="1:3">
      <c r="A164" s="3">
        <v>140</v>
      </c>
      <c r="B164" s="3">
        <v>654930.02335407212</v>
      </c>
      <c r="C164" s="3">
        <v>-8370.313354072161</v>
      </c>
    </row>
    <row r="165" spans="1:3">
      <c r="A165" s="3">
        <v>141</v>
      </c>
      <c r="B165" s="3">
        <v>670302.0647157334</v>
      </c>
      <c r="C165" s="3">
        <v>45588.465284266626</v>
      </c>
    </row>
    <row r="166" spans="1:3">
      <c r="A166" s="3">
        <v>142</v>
      </c>
      <c r="B166" s="3">
        <v>658112.75886416819</v>
      </c>
      <c r="C166" s="3">
        <v>56984.811135831755</v>
      </c>
    </row>
    <row r="167" spans="1:3">
      <c r="A167" s="3">
        <v>143</v>
      </c>
      <c r="B167" s="3">
        <v>654552.3431697241</v>
      </c>
      <c r="C167" s="3">
        <v>28086.936830275925</v>
      </c>
    </row>
    <row r="168" spans="1:3">
      <c r="A168" s="3">
        <v>144</v>
      </c>
      <c r="B168" s="3">
        <v>667678.02329283056</v>
      </c>
      <c r="C168" s="3">
        <v>27420.486707169446</v>
      </c>
    </row>
    <row r="169" spans="1:3">
      <c r="A169" s="3">
        <v>145</v>
      </c>
      <c r="B169" s="3">
        <v>710887.27705565433</v>
      </c>
      <c r="C169" s="3">
        <v>-133154.70705565438</v>
      </c>
    </row>
    <row r="170" spans="1:3">
      <c r="A170" s="3">
        <v>146</v>
      </c>
      <c r="B170" s="3">
        <v>669192.47078704601</v>
      </c>
      <c r="C170" s="3">
        <v>-132134.14078704605</v>
      </c>
    </row>
    <row r="171" spans="1:3">
      <c r="A171" s="3">
        <v>147</v>
      </c>
      <c r="B171" s="3">
        <v>674393.80945441127</v>
      </c>
      <c r="C171" s="3">
        <v>-72824.939454411273</v>
      </c>
    </row>
    <row r="172" spans="1:3">
      <c r="A172" s="3">
        <v>148</v>
      </c>
      <c r="B172" s="3">
        <v>689238.44019044167</v>
      </c>
      <c r="C172" s="3">
        <v>-118273.60019044171</v>
      </c>
    </row>
    <row r="173" spans="1:3">
      <c r="A173" s="3">
        <v>149</v>
      </c>
      <c r="B173" s="3">
        <v>670611.64108110522</v>
      </c>
      <c r="C173" s="3">
        <v>-56586.731081105187</v>
      </c>
    </row>
    <row r="174" spans="1:3">
      <c r="A174" s="3">
        <v>150</v>
      </c>
      <c r="B174" s="3">
        <v>653030.42086610873</v>
      </c>
      <c r="C174" s="3">
        <v>59837.929133891244</v>
      </c>
    </row>
    <row r="175" spans="1:3">
      <c r="A175" s="3">
        <v>151</v>
      </c>
      <c r="B175" s="3">
        <v>661066.60761805496</v>
      </c>
      <c r="C175" s="3">
        <v>35677.542381945066</v>
      </c>
    </row>
    <row r="176" spans="1:3">
      <c r="A176" s="3">
        <v>152</v>
      </c>
      <c r="B176" s="3">
        <v>713798.17227518361</v>
      </c>
      <c r="C176" s="3">
        <v>12049.817724816385</v>
      </c>
    </row>
    <row r="177" spans="1:3">
      <c r="A177" s="3">
        <v>153</v>
      </c>
      <c r="B177" s="3">
        <v>721869.56090729497</v>
      </c>
      <c r="C177" s="3">
        <v>63158.689092705026</v>
      </c>
    </row>
    <row r="178" spans="1:3">
      <c r="A178" s="3">
        <v>154</v>
      </c>
      <c r="B178" s="3">
        <v>697868.22476920031</v>
      </c>
      <c r="C178" s="3">
        <v>624.44523079972714</v>
      </c>
    </row>
    <row r="179" spans="1:3">
      <c r="A179" s="3">
        <v>155</v>
      </c>
      <c r="B179" s="3">
        <v>691605.33539253811</v>
      </c>
      <c r="C179" s="3">
        <v>-5775.0953925381182</v>
      </c>
    </row>
    <row r="180" spans="1:3">
      <c r="A180" s="3">
        <v>156</v>
      </c>
      <c r="B180" s="3">
        <v>651706.25092741335</v>
      </c>
      <c r="C180" s="3">
        <v>50612.689072586596</v>
      </c>
    </row>
    <row r="181" spans="1:3">
      <c r="A181" s="3">
        <v>157</v>
      </c>
      <c r="B181" s="3">
        <v>745801.89880477567</v>
      </c>
      <c r="C181" s="3">
        <v>-45723.578804775723</v>
      </c>
    </row>
    <row r="182" spans="1:3">
      <c r="A182" s="3">
        <v>158</v>
      </c>
      <c r="B182" s="3">
        <v>649927.92775435618</v>
      </c>
      <c r="C182" s="3">
        <v>-47925.607754356228</v>
      </c>
    </row>
    <row r="183" spans="1:3">
      <c r="A183" s="3">
        <v>159</v>
      </c>
      <c r="B183" s="3">
        <v>681988.85467724735</v>
      </c>
      <c r="C183" s="3">
        <v>42227.2153227526</v>
      </c>
    </row>
    <row r="184" spans="1:3">
      <c r="A184" s="3">
        <v>160</v>
      </c>
      <c r="B184" s="3">
        <v>610299.70397514757</v>
      </c>
      <c r="C184" s="3">
        <v>10673.32602485246</v>
      </c>
    </row>
    <row r="185" spans="1:3">
      <c r="A185" s="3">
        <v>161</v>
      </c>
      <c r="B185" s="3">
        <v>649034.20887662657</v>
      </c>
      <c r="C185" s="3">
        <v>1445.8511233734898</v>
      </c>
    </row>
    <row r="186" spans="1:3">
      <c r="A186" s="3">
        <v>162</v>
      </c>
      <c r="B186" s="3">
        <v>663931.52530626161</v>
      </c>
      <c r="C186" s="3">
        <v>114367.35469373839</v>
      </c>
    </row>
    <row r="187" spans="1:3">
      <c r="A187" s="3">
        <v>163</v>
      </c>
      <c r="B187" s="3">
        <v>682468.30726650089</v>
      </c>
      <c r="C187" s="3">
        <v>-5371.5972665009322</v>
      </c>
    </row>
    <row r="188" spans="1:3">
      <c r="A188" s="3">
        <v>164</v>
      </c>
      <c r="B188" s="3">
        <v>703183.36794207199</v>
      </c>
      <c r="C188" s="3">
        <v>-11174.727942071971</v>
      </c>
    </row>
    <row r="189" spans="1:3">
      <c r="A189" s="3">
        <v>165</v>
      </c>
      <c r="B189" s="3">
        <v>714427.33400996681</v>
      </c>
      <c r="C189" s="3">
        <v>111370.57599003322</v>
      </c>
    </row>
    <row r="190" spans="1:3">
      <c r="A190" s="3">
        <v>166</v>
      </c>
      <c r="B190" s="3">
        <v>635958.38211193902</v>
      </c>
      <c r="C190" s="3">
        <v>70327.137888060999</v>
      </c>
    </row>
    <row r="191" spans="1:3">
      <c r="A191" s="3">
        <v>167</v>
      </c>
      <c r="B191" s="3">
        <v>625307.43888551812</v>
      </c>
      <c r="C191" s="3">
        <v>40227.261114481837</v>
      </c>
    </row>
    <row r="192" spans="1:3">
      <c r="A192" s="3">
        <v>168</v>
      </c>
      <c r="B192" s="3">
        <v>727804.49568350834</v>
      </c>
      <c r="C192" s="3">
        <v>92924.794316491694</v>
      </c>
    </row>
    <row r="193" spans="1:3">
      <c r="A193" s="3">
        <v>169</v>
      </c>
      <c r="B193" s="3">
        <v>692937.04402789311</v>
      </c>
      <c r="C193" s="3">
        <v>46894.685972106876</v>
      </c>
    </row>
    <row r="194" spans="1:3">
      <c r="A194" s="3">
        <v>170</v>
      </c>
      <c r="B194" s="3">
        <v>630700.84395167872</v>
      </c>
      <c r="C194" s="3">
        <v>-37063.703951678704</v>
      </c>
    </row>
    <row r="195" spans="1:3">
      <c r="A195" s="3">
        <v>171</v>
      </c>
      <c r="B195" s="3">
        <v>669013.18184021628</v>
      </c>
      <c r="C195" s="3">
        <v>100689.57815978373</v>
      </c>
    </row>
    <row r="196" spans="1:3">
      <c r="A196" s="3">
        <v>172</v>
      </c>
      <c r="B196" s="3">
        <v>638733.66597460734</v>
      </c>
      <c r="C196" s="3">
        <v>40997.904025392607</v>
      </c>
    </row>
    <row r="197" spans="1:3">
      <c r="A197" s="3">
        <v>173</v>
      </c>
      <c r="B197" s="3">
        <v>699706.13345992344</v>
      </c>
      <c r="C197" s="3">
        <v>80638.046540076612</v>
      </c>
    </row>
    <row r="198" spans="1:3">
      <c r="A198" s="3">
        <v>174</v>
      </c>
      <c r="B198" s="3">
        <v>653724.74760591611</v>
      </c>
      <c r="C198" s="3">
        <v>67639.362394083873</v>
      </c>
    </row>
    <row r="199" spans="1:3">
      <c r="A199" s="3">
        <v>175</v>
      </c>
      <c r="B199" s="3">
        <v>705673.9701749481</v>
      </c>
      <c r="C199" s="3">
        <v>52464.319825051934</v>
      </c>
    </row>
    <row r="200" spans="1:3">
      <c r="A200" s="3">
        <v>176</v>
      </c>
      <c r="B200" s="3">
        <v>695034.16462749057</v>
      </c>
      <c r="C200" s="3">
        <v>109229.83537250943</v>
      </c>
    </row>
    <row r="201" spans="1:3">
      <c r="A201" s="3">
        <v>177</v>
      </c>
      <c r="B201" s="3">
        <v>704511.09427156439</v>
      </c>
      <c r="C201" s="3">
        <v>183026.65572843561</v>
      </c>
    </row>
    <row r="202" spans="1:3">
      <c r="A202" s="3">
        <v>178</v>
      </c>
      <c r="B202" s="3">
        <v>623364.11621607933</v>
      </c>
      <c r="C202" s="3">
        <v>160217.88378392067</v>
      </c>
    </row>
    <row r="203" spans="1:3">
      <c r="A203" s="3">
        <v>179</v>
      </c>
      <c r="B203" s="3">
        <v>647099.87301507022</v>
      </c>
      <c r="C203" s="3">
        <v>134855.6469849298</v>
      </c>
    </row>
    <row r="204" spans="1:3">
      <c r="A204" s="3">
        <v>180</v>
      </c>
      <c r="B204" s="3">
        <v>720243.26811687439</v>
      </c>
      <c r="C204" s="3">
        <v>177787.77188312565</v>
      </c>
    </row>
    <row r="205" spans="1:3">
      <c r="A205" s="3">
        <v>181</v>
      </c>
      <c r="B205" s="3">
        <v>706634.32346467802</v>
      </c>
      <c r="C205" s="3">
        <v>148706.95653532201</v>
      </c>
    </row>
    <row r="206" spans="1:3">
      <c r="A206" s="3">
        <v>182</v>
      </c>
      <c r="B206" s="3">
        <v>657053.84882827743</v>
      </c>
      <c r="C206" s="3">
        <v>94340.03117172257</v>
      </c>
    </row>
    <row r="207" spans="1:3">
      <c r="A207" s="3">
        <v>183</v>
      </c>
      <c r="B207" s="3">
        <v>694962.37664319749</v>
      </c>
      <c r="C207" s="3">
        <v>66114.703356802464</v>
      </c>
    </row>
    <row r="208" spans="1:3">
      <c r="A208" s="3">
        <v>184</v>
      </c>
      <c r="B208" s="3">
        <v>684183.85055890062</v>
      </c>
      <c r="C208" s="3">
        <v>135476.73944109934</v>
      </c>
    </row>
    <row r="209" spans="1:3">
      <c r="A209" s="3">
        <v>185</v>
      </c>
      <c r="B209" s="3">
        <v>713982.44442828</v>
      </c>
      <c r="C209" s="3">
        <v>-32126.88442827994</v>
      </c>
    </row>
    <row r="210" spans="1:3">
      <c r="A210" s="3">
        <v>186</v>
      </c>
      <c r="B210" s="3">
        <v>682478.06072150124</v>
      </c>
      <c r="C210" s="3">
        <v>-4166.8907215012005</v>
      </c>
    </row>
    <row r="211" spans="1:3">
      <c r="A211" s="3">
        <v>187</v>
      </c>
      <c r="B211" s="3">
        <v>663064.55389464647</v>
      </c>
      <c r="C211" s="3">
        <v>102842.39610535349</v>
      </c>
    </row>
    <row r="212" spans="1:3">
      <c r="A212" s="3">
        <v>188</v>
      </c>
      <c r="B212" s="3">
        <v>715778.05975299713</v>
      </c>
      <c r="C212" s="3">
        <v>-3231.6797529971227</v>
      </c>
    </row>
    <row r="213" spans="1:3">
      <c r="A213" s="3">
        <v>189</v>
      </c>
      <c r="B213" s="3">
        <v>713344.16811109474</v>
      </c>
      <c r="C213" s="3">
        <v>-87350.338111094781</v>
      </c>
    </row>
    <row r="214" spans="1:3">
      <c r="A214" s="3">
        <v>190</v>
      </c>
      <c r="B214" s="3">
        <v>679583.39286596817</v>
      </c>
      <c r="C214" s="3">
        <v>-128620.46286596812</v>
      </c>
    </row>
    <row r="215" spans="1:3">
      <c r="A215" s="3">
        <v>191</v>
      </c>
      <c r="B215" s="3">
        <v>641074.85720249976</v>
      </c>
      <c r="C215" s="3">
        <v>-197799.26720249973</v>
      </c>
    </row>
    <row r="216" spans="1:3">
      <c r="A216" s="3">
        <v>192</v>
      </c>
      <c r="B216" s="3">
        <v>677831.9662292985</v>
      </c>
      <c r="C216" s="3">
        <v>-123819.89622929855</v>
      </c>
    </row>
    <row r="217" spans="1:3">
      <c r="A217" s="3">
        <v>193</v>
      </c>
      <c r="B217" s="3">
        <v>734969.66483071703</v>
      </c>
      <c r="C217" s="3">
        <v>-91540.814830717049</v>
      </c>
    </row>
    <row r="218" spans="1:3">
      <c r="A218" s="3">
        <v>194</v>
      </c>
      <c r="B218" s="3">
        <v>669669.83639247855</v>
      </c>
      <c r="C218" s="3">
        <v>-57745.566392478533</v>
      </c>
    </row>
    <row r="219" spans="1:3">
      <c r="A219" s="3">
        <v>195</v>
      </c>
      <c r="B219" s="3">
        <v>646429.24844865885</v>
      </c>
      <c r="C219" s="3">
        <v>-87007.228448658832</v>
      </c>
    </row>
    <row r="220" spans="1:3">
      <c r="A220" s="3">
        <v>196</v>
      </c>
      <c r="B220" s="3">
        <v>649490.42779905617</v>
      </c>
      <c r="C220" s="3">
        <v>-200025.36779905617</v>
      </c>
    </row>
    <row r="221" spans="1:3">
      <c r="A221" s="3">
        <v>197</v>
      </c>
      <c r="B221" s="3">
        <v>713790.42062099115</v>
      </c>
      <c r="C221" s="3">
        <v>-22342.990620991099</v>
      </c>
    </row>
    <row r="222" spans="1:3">
      <c r="A222" s="3">
        <v>198</v>
      </c>
      <c r="B222" s="3">
        <v>675780.43983746483</v>
      </c>
      <c r="C222" s="3">
        <v>-101713.82983746484</v>
      </c>
    </row>
    <row r="223" spans="1:3">
      <c r="A223" s="3">
        <v>199</v>
      </c>
      <c r="B223" s="3">
        <v>676795.18248106143</v>
      </c>
      <c r="C223" s="3">
        <v>-97845.342481061467</v>
      </c>
    </row>
    <row r="224" spans="1:3">
      <c r="A224" s="3">
        <v>200</v>
      </c>
      <c r="B224" s="3">
        <v>691515.80804576632</v>
      </c>
      <c r="C224" s="3">
        <v>44270.831954233698</v>
      </c>
    </row>
    <row r="225" spans="1:3">
      <c r="A225" s="3">
        <v>201</v>
      </c>
      <c r="B225" s="3">
        <v>608294.41066367598</v>
      </c>
      <c r="C225" s="3">
        <v>-9389.5106636759592</v>
      </c>
    </row>
    <row r="226" spans="1:3">
      <c r="A226" s="3">
        <v>202</v>
      </c>
      <c r="B226" s="3">
        <v>727122.6695508738</v>
      </c>
      <c r="C226" s="3">
        <v>60592.840449126204</v>
      </c>
    </row>
    <row r="227" spans="1:3">
      <c r="A227" s="3">
        <v>203</v>
      </c>
      <c r="B227" s="3">
        <v>635745.27550890716</v>
      </c>
      <c r="C227" s="3">
        <v>-28660.355508907116</v>
      </c>
    </row>
    <row r="228" spans="1:3">
      <c r="A228" s="3">
        <v>204</v>
      </c>
      <c r="B228" s="3">
        <v>697292.23853034712</v>
      </c>
      <c r="C228" s="3">
        <v>-46496.748530347133</v>
      </c>
    </row>
    <row r="229" spans="1:3">
      <c r="A229" s="3">
        <v>205</v>
      </c>
      <c r="B229" s="3">
        <v>756890.23550773016</v>
      </c>
      <c r="C229" s="3">
        <v>68170.284492269857</v>
      </c>
    </row>
    <row r="230" spans="1:3">
      <c r="A230" s="3">
        <v>206</v>
      </c>
      <c r="B230" s="3">
        <v>676415.13846809976</v>
      </c>
      <c r="C230" s="3">
        <v>119049.33153190021</v>
      </c>
    </row>
    <row r="231" spans="1:3">
      <c r="A231" s="3">
        <v>207</v>
      </c>
      <c r="B231" s="3">
        <v>641665.75046864618</v>
      </c>
      <c r="C231" s="3">
        <v>30202.839531353791</v>
      </c>
    </row>
    <row r="232" spans="1:3">
      <c r="A232" s="3">
        <v>208</v>
      </c>
      <c r="B232" s="3">
        <v>680914.84595228394</v>
      </c>
      <c r="C232" s="3">
        <v>-4997.2159522839356</v>
      </c>
    </row>
    <row r="233" spans="1:3">
      <c r="A233" s="3">
        <v>209</v>
      </c>
      <c r="B233" s="3">
        <v>695914.21163161704</v>
      </c>
      <c r="C233" s="3">
        <v>114532.31836838298</v>
      </c>
    </row>
    <row r="234" spans="1:3">
      <c r="A234" s="3">
        <v>210</v>
      </c>
      <c r="B234" s="3">
        <v>694833.47344861843</v>
      </c>
      <c r="C234" s="3">
        <v>-3545.2834486184875</v>
      </c>
    </row>
    <row r="235" spans="1:3">
      <c r="A235" s="3">
        <v>211</v>
      </c>
      <c r="B235" s="3">
        <v>790707.99818862299</v>
      </c>
      <c r="C235" s="3">
        <v>156125.54181137704</v>
      </c>
    </row>
    <row r="236" spans="1:3">
      <c r="A236" s="3">
        <v>212</v>
      </c>
      <c r="B236" s="3">
        <v>665990.6116905082</v>
      </c>
      <c r="C236" s="3">
        <v>95972.61830949178</v>
      </c>
    </row>
    <row r="237" spans="1:3">
      <c r="A237" s="3">
        <v>213</v>
      </c>
      <c r="B237" s="3">
        <v>669146.02474915131</v>
      </c>
      <c r="C237" s="3">
        <v>143006.57525084866</v>
      </c>
    </row>
    <row r="238" spans="1:3">
      <c r="A238" s="3">
        <v>214</v>
      </c>
      <c r="B238" s="3">
        <v>649835.01438281348</v>
      </c>
      <c r="C238" s="3">
        <v>155140.48561718652</v>
      </c>
    </row>
    <row r="239" spans="1:3">
      <c r="A239" s="3">
        <v>215</v>
      </c>
      <c r="B239" s="3">
        <v>635943.98618272447</v>
      </c>
      <c r="C239" s="3">
        <v>116377.7338172755</v>
      </c>
    </row>
    <row r="240" spans="1:3">
      <c r="A240" s="3">
        <v>216</v>
      </c>
      <c r="B240" s="3">
        <v>661700.24146102602</v>
      </c>
      <c r="C240" s="3">
        <v>175207.99853897397</v>
      </c>
    </row>
    <row r="241" spans="1:3">
      <c r="A241" s="3">
        <v>217</v>
      </c>
      <c r="B241" s="3">
        <v>708102.51658277819</v>
      </c>
      <c r="C241" s="3">
        <v>-33813.416582778213</v>
      </c>
    </row>
    <row r="242" spans="1:3">
      <c r="A242" s="3">
        <v>218</v>
      </c>
      <c r="B242" s="3">
        <v>633155.92486809066</v>
      </c>
      <c r="C242" s="3">
        <v>-10263.504868090618</v>
      </c>
    </row>
    <row r="243" spans="1:3">
      <c r="A243" s="3">
        <v>219</v>
      </c>
      <c r="B243" s="3">
        <v>685965.13384166313</v>
      </c>
      <c r="C243" s="3">
        <v>-12616.573841663077</v>
      </c>
    </row>
    <row r="244" spans="1:3">
      <c r="A244" s="3">
        <v>220</v>
      </c>
      <c r="B244" s="3">
        <v>595812.79930264573</v>
      </c>
      <c r="C244" s="3">
        <v>10465.50069735432</v>
      </c>
    </row>
    <row r="245" spans="1:3">
      <c r="A245" s="3">
        <v>221</v>
      </c>
      <c r="B245" s="3">
        <v>674427.94654691254</v>
      </c>
      <c r="C245" s="3">
        <v>37791.863453087513</v>
      </c>
    </row>
    <row r="246" spans="1:3">
      <c r="A246" s="3">
        <v>222</v>
      </c>
      <c r="B246" s="3">
        <v>618690.37983612448</v>
      </c>
      <c r="C246" s="3">
        <v>53980.160163875553</v>
      </c>
    </row>
    <row r="247" spans="1:3">
      <c r="A247" s="3">
        <v>223</v>
      </c>
      <c r="B247" s="3">
        <v>703379.54442124953</v>
      </c>
      <c r="C247" s="3">
        <v>29288.375578750507</v>
      </c>
    </row>
    <row r="248" spans="1:3">
      <c r="A248" s="3">
        <v>224</v>
      </c>
      <c r="B248" s="3">
        <v>717388.42331996735</v>
      </c>
      <c r="C248" s="3">
        <v>6142.9766800326761</v>
      </c>
    </row>
    <row r="249" spans="1:3">
      <c r="A249" s="3">
        <v>225</v>
      </c>
      <c r="B249" s="3">
        <v>706040.55527183937</v>
      </c>
      <c r="C249" s="3">
        <v>-64475.955271839397</v>
      </c>
    </row>
    <row r="250" spans="1:3">
      <c r="A250" s="3">
        <v>226</v>
      </c>
      <c r="B250" s="3">
        <v>682644.38055458595</v>
      </c>
      <c r="C250" s="3">
        <v>-146098.89055458596</v>
      </c>
    </row>
    <row r="251" spans="1:3">
      <c r="A251" s="3">
        <v>227</v>
      </c>
      <c r="B251" s="3">
        <v>652204.31600503006</v>
      </c>
      <c r="C251" s="3">
        <v>-124522.75600503001</v>
      </c>
    </row>
    <row r="252" spans="1:3">
      <c r="A252" s="3">
        <v>228</v>
      </c>
      <c r="B252" s="3">
        <v>644557.92672104586</v>
      </c>
      <c r="C252" s="3">
        <v>-114958.98672104592</v>
      </c>
    </row>
    <row r="253" spans="1:3">
      <c r="A253" s="3">
        <v>229</v>
      </c>
      <c r="B253" s="3">
        <v>640262.10477872519</v>
      </c>
      <c r="C253" s="3">
        <v>-69298.794778725132</v>
      </c>
    </row>
    <row r="254" spans="1:3">
      <c r="A254" s="3">
        <v>230</v>
      </c>
      <c r="B254" s="3">
        <v>802986.72490819369</v>
      </c>
      <c r="C254" s="3">
        <v>67950.675091806334</v>
      </c>
    </row>
    <row r="255" spans="1:3">
      <c r="A255" s="3">
        <v>231</v>
      </c>
      <c r="B255" s="3">
        <v>631423.77088813565</v>
      </c>
      <c r="C255" s="3">
        <v>-34454.500888135633</v>
      </c>
    </row>
    <row r="256" spans="1:3">
      <c r="A256" s="3">
        <v>232</v>
      </c>
      <c r="B256" s="3">
        <v>615758.89162317745</v>
      </c>
      <c r="C256" s="3">
        <v>31753.958376822527</v>
      </c>
    </row>
    <row r="257" spans="1:3">
      <c r="A257" s="3">
        <v>233</v>
      </c>
      <c r="B257" s="3">
        <v>661382.57270940952</v>
      </c>
      <c r="C257" s="3">
        <v>-3310.4327094095061</v>
      </c>
    </row>
    <row r="258" spans="1:3">
      <c r="A258" s="3">
        <v>234</v>
      </c>
      <c r="B258" s="3">
        <v>692067.34675985877</v>
      </c>
      <c r="C258" s="3">
        <v>31237.763240141212</v>
      </c>
    </row>
    <row r="259" spans="1:3">
      <c r="A259" s="3">
        <v>235</v>
      </c>
      <c r="B259" s="3">
        <v>694051.9405991463</v>
      </c>
      <c r="C259" s="3">
        <v>-53385.410599146271</v>
      </c>
    </row>
    <row r="260" spans="1:3">
      <c r="A260" s="3">
        <v>236</v>
      </c>
      <c r="B260" s="3">
        <v>662878.00309594965</v>
      </c>
      <c r="C260" s="3">
        <v>7751.4769040503306</v>
      </c>
    </row>
    <row r="261" spans="1:3">
      <c r="A261" s="3">
        <v>237</v>
      </c>
      <c r="B261" s="3">
        <v>659792.80213585717</v>
      </c>
      <c r="C261" s="3">
        <v>61286.547864142805</v>
      </c>
    </row>
    <row r="262" spans="1:3">
      <c r="A262" s="3">
        <v>238</v>
      </c>
      <c r="B262" s="3">
        <v>716155.31402227969</v>
      </c>
      <c r="C262" s="3">
        <v>94199.705977720325</v>
      </c>
    </row>
    <row r="263" spans="1:3">
      <c r="A263" s="3">
        <v>239</v>
      </c>
      <c r="B263" s="3">
        <v>686550.17077565868</v>
      </c>
      <c r="C263" s="3">
        <v>75369.079224341316</v>
      </c>
    </row>
    <row r="264" spans="1:3">
      <c r="A264" s="3">
        <v>240</v>
      </c>
      <c r="B264" s="3">
        <v>616674.65160554764</v>
      </c>
      <c r="C264" s="3">
        <v>120395.52839445241</v>
      </c>
    </row>
    <row r="265" spans="1:3">
      <c r="A265" s="3">
        <v>241</v>
      </c>
      <c r="B265" s="3">
        <v>709634.91639700532</v>
      </c>
      <c r="C265" s="3">
        <v>67358.013602994732</v>
      </c>
    </row>
    <row r="266" spans="1:3">
      <c r="A266" s="3">
        <v>242</v>
      </c>
      <c r="B266" s="3">
        <v>671050.16323256248</v>
      </c>
      <c r="C266" s="3">
        <v>5287.2467674375512</v>
      </c>
    </row>
    <row r="267" spans="1:3">
      <c r="A267" s="3">
        <v>243</v>
      </c>
      <c r="B267" s="3">
        <v>711550.511995679</v>
      </c>
      <c r="C267" s="3">
        <v>116669.15800432104</v>
      </c>
    </row>
    <row r="268" spans="1:3">
      <c r="A268" s="3">
        <v>244</v>
      </c>
      <c r="B268" s="3">
        <v>674808.30999617337</v>
      </c>
      <c r="C268" s="3">
        <v>88351.610003826674</v>
      </c>
    </row>
    <row r="269" spans="1:3">
      <c r="A269" s="3">
        <v>245</v>
      </c>
      <c r="B269" s="3">
        <v>724631.55621991912</v>
      </c>
      <c r="C269" s="3">
        <v>77370.123780080932</v>
      </c>
    </row>
    <row r="270" spans="1:3">
      <c r="A270" s="3">
        <v>246</v>
      </c>
      <c r="B270" s="3">
        <v>663126.39676215965</v>
      </c>
      <c r="C270" s="3">
        <v>87344.943237840314</v>
      </c>
    </row>
    <row r="271" spans="1:3">
      <c r="A271" s="3">
        <v>247</v>
      </c>
      <c r="B271" s="3">
        <v>682993.75868283038</v>
      </c>
      <c r="C271" s="3">
        <v>-3762.8986828303896</v>
      </c>
    </row>
    <row r="272" spans="1:3">
      <c r="A272" s="3">
        <v>248</v>
      </c>
      <c r="B272" s="3">
        <v>606640.26302797056</v>
      </c>
      <c r="C272" s="3">
        <v>73248.476972029428</v>
      </c>
    </row>
    <row r="273" spans="1:3">
      <c r="A273" s="3">
        <v>249</v>
      </c>
      <c r="B273" s="3">
        <v>647927.38339586509</v>
      </c>
      <c r="C273" s="3">
        <v>-41143.713395865052</v>
      </c>
    </row>
    <row r="274" spans="1:3">
      <c r="A274" s="3">
        <v>250</v>
      </c>
      <c r="B274" s="3">
        <v>716092.7045076486</v>
      </c>
      <c r="C274" s="3">
        <v>-73341.284507648554</v>
      </c>
    </row>
    <row r="275" spans="1:3">
      <c r="A275" s="3">
        <v>251</v>
      </c>
      <c r="B275" s="3">
        <v>642471.96509616508</v>
      </c>
      <c r="C275" s="3">
        <v>5481.8149038349511</v>
      </c>
    </row>
    <row r="276" spans="1:3">
      <c r="A276" s="3">
        <v>252</v>
      </c>
      <c r="B276" s="3">
        <v>768370.35018370138</v>
      </c>
      <c r="C276" s="3">
        <v>-38929.900183701422</v>
      </c>
    </row>
    <row r="277" spans="1:3">
      <c r="A277" s="3">
        <v>253</v>
      </c>
      <c r="B277" s="3">
        <v>734980.44048187463</v>
      </c>
      <c r="C277" s="3">
        <v>29968.559518125374</v>
      </c>
    </row>
    <row r="278" spans="1:3">
      <c r="A278" s="3">
        <v>254</v>
      </c>
      <c r="B278" s="3">
        <v>696180.23818153958</v>
      </c>
      <c r="C278" s="3">
        <v>102866.70181846037</v>
      </c>
    </row>
    <row r="279" spans="1:3">
      <c r="A279" s="3">
        <v>255</v>
      </c>
      <c r="B279" s="3">
        <v>721374.4559393836</v>
      </c>
      <c r="C279" s="3">
        <v>-1294.915939383558</v>
      </c>
    </row>
    <row r="280" spans="1:3">
      <c r="A280" s="3">
        <v>256</v>
      </c>
      <c r="B280" s="3">
        <v>638059.8044536981</v>
      </c>
      <c r="C280" s="3">
        <v>-25669.664453698089</v>
      </c>
    </row>
    <row r="281" spans="1:3">
      <c r="A281" s="3">
        <v>257</v>
      </c>
      <c r="B281" s="3">
        <v>699780.22138557024</v>
      </c>
      <c r="C281" s="3">
        <v>140327.89861442975</v>
      </c>
    </row>
    <row r="282" spans="1:3">
      <c r="A282" s="3">
        <v>258</v>
      </c>
      <c r="B282" s="3">
        <v>621833.18580882833</v>
      </c>
      <c r="C282" s="3">
        <v>76054.904191171634</v>
      </c>
    </row>
    <row r="283" spans="1:3">
      <c r="A283" s="3">
        <v>259</v>
      </c>
      <c r="B283" s="3">
        <v>654881.87365591538</v>
      </c>
      <c r="C283" s="3">
        <v>91233.716344084591</v>
      </c>
    </row>
    <row r="284" spans="1:3">
      <c r="A284" s="3">
        <v>260</v>
      </c>
      <c r="B284" s="3">
        <v>642548.39555467223</v>
      </c>
      <c r="C284" s="3">
        <v>133561.92444532772</v>
      </c>
    </row>
    <row r="285" spans="1:3">
      <c r="A285" s="3">
        <v>261</v>
      </c>
      <c r="B285" s="3">
        <v>591697.43757358496</v>
      </c>
      <c r="C285" s="3">
        <v>-62844.817573584965</v>
      </c>
    </row>
    <row r="286" spans="1:3">
      <c r="A286" s="3">
        <v>262</v>
      </c>
      <c r="B286" s="3">
        <v>652962.82814521098</v>
      </c>
      <c r="C286" s="3">
        <v>-47211.498145211022</v>
      </c>
    </row>
    <row r="287" spans="1:3">
      <c r="A287" s="3">
        <v>263</v>
      </c>
      <c r="B287" s="3">
        <v>670345.16732036392</v>
      </c>
      <c r="C287" s="3">
        <v>7295.4826796361012</v>
      </c>
    </row>
    <row r="288" spans="1:3">
      <c r="A288" s="3">
        <v>264</v>
      </c>
      <c r="B288" s="3">
        <v>685758.41596461402</v>
      </c>
      <c r="C288" s="3">
        <v>-49145.185964614036</v>
      </c>
    </row>
    <row r="289" spans="1:3">
      <c r="A289" s="3">
        <v>265</v>
      </c>
      <c r="B289" s="3">
        <v>686383.76575956075</v>
      </c>
      <c r="C289" s="3">
        <v>22601.424240439199</v>
      </c>
    </row>
    <row r="290" spans="1:3">
      <c r="A290" s="3">
        <v>266</v>
      </c>
      <c r="B290" s="3">
        <v>717204.32153289719</v>
      </c>
      <c r="C290" s="3">
        <v>50588.618467102759</v>
      </c>
    </row>
    <row r="291" spans="1:3">
      <c r="A291" s="3">
        <v>267</v>
      </c>
      <c r="B291" s="3">
        <v>681316.3986760542</v>
      </c>
      <c r="C291" s="3">
        <v>64264.111323945806</v>
      </c>
    </row>
    <row r="292" spans="1:3">
      <c r="A292" s="3">
        <v>268</v>
      </c>
      <c r="B292" s="3">
        <v>704997.06336132041</v>
      </c>
      <c r="C292" s="3">
        <v>57331.246638679644</v>
      </c>
    </row>
    <row r="293" spans="1:3">
      <c r="A293" s="3">
        <v>269</v>
      </c>
      <c r="B293" s="3">
        <v>664600.3610293977</v>
      </c>
      <c r="C293" s="3">
        <v>-3966.3710293977056</v>
      </c>
    </row>
    <row r="294" spans="1:3">
      <c r="A294" s="3">
        <v>270</v>
      </c>
      <c r="B294" s="3">
        <v>611706.07552148798</v>
      </c>
      <c r="C294" s="3">
        <v>127668.48447851208</v>
      </c>
    </row>
    <row r="295" spans="1:3">
      <c r="A295" s="3">
        <v>271</v>
      </c>
      <c r="B295" s="3">
        <v>692801.00675596669</v>
      </c>
      <c r="C295" s="3">
        <v>106955.45324403327</v>
      </c>
    </row>
    <row r="296" spans="1:3">
      <c r="A296" s="3">
        <v>272</v>
      </c>
      <c r="B296" s="3">
        <v>623269.58436728758</v>
      </c>
      <c r="C296" s="3">
        <v>-29926.584367287578</v>
      </c>
    </row>
    <row r="297" spans="1:3">
      <c r="A297" s="3">
        <v>273</v>
      </c>
      <c r="B297" s="3">
        <v>668389.40793101187</v>
      </c>
      <c r="C297" s="3">
        <v>-23349.437931011897</v>
      </c>
    </row>
    <row r="298" spans="1:3">
      <c r="A298" s="3">
        <v>274</v>
      </c>
      <c r="B298" s="3">
        <v>598178.16121050634</v>
      </c>
      <c r="C298" s="3">
        <v>-36580.831210506381</v>
      </c>
    </row>
    <row r="299" spans="1:3">
      <c r="A299" s="3">
        <v>275</v>
      </c>
      <c r="B299" s="3">
        <v>662248.86265691975</v>
      </c>
      <c r="C299" s="3">
        <v>-26411.122656919761</v>
      </c>
    </row>
    <row r="300" spans="1:3">
      <c r="A300" s="3">
        <v>276</v>
      </c>
      <c r="B300" s="3">
        <v>642334.92692383472</v>
      </c>
      <c r="C300" s="3">
        <v>44402.943076165277</v>
      </c>
    </row>
    <row r="301" spans="1:3">
      <c r="A301" s="3">
        <v>277</v>
      </c>
      <c r="B301" s="3">
        <v>692351.26174253295</v>
      </c>
      <c r="C301" s="3">
        <v>-19274.921742532984</v>
      </c>
    </row>
    <row r="302" spans="1:3">
      <c r="A302" s="3">
        <v>278</v>
      </c>
      <c r="B302" s="3">
        <v>639214.56667508371</v>
      </c>
      <c r="C302" s="3">
        <v>99333.85332491633</v>
      </c>
    </row>
    <row r="303" spans="1:3">
      <c r="A303" s="3">
        <v>279</v>
      </c>
      <c r="B303" s="3">
        <v>664294.74567413528</v>
      </c>
      <c r="C303" s="3">
        <v>92325.024325864739</v>
      </c>
    </row>
    <row r="304" spans="1:3">
      <c r="A304" s="3">
        <v>280</v>
      </c>
      <c r="B304" s="3">
        <v>710452.54554828024</v>
      </c>
      <c r="C304" s="3">
        <v>50669.874451719807</v>
      </c>
    </row>
    <row r="305" spans="1:3">
      <c r="A305" s="3">
        <v>281</v>
      </c>
      <c r="B305" s="3">
        <v>658610.86653329153</v>
      </c>
      <c r="C305" s="3">
        <v>-133711.29653329158</v>
      </c>
    </row>
    <row r="306" spans="1:3">
      <c r="A306" s="3">
        <v>282</v>
      </c>
      <c r="B306" s="3">
        <v>634825.36285464815</v>
      </c>
      <c r="C306" s="3">
        <v>-79267.59285464813</v>
      </c>
    </row>
    <row r="307" spans="1:3">
      <c r="A307" s="3">
        <v>283</v>
      </c>
      <c r="B307" s="3">
        <v>701551.19752374734</v>
      </c>
      <c r="C307" s="3">
        <v>12532.482476252713</v>
      </c>
    </row>
    <row r="308" spans="1:3">
      <c r="A308" s="3">
        <v>284</v>
      </c>
      <c r="B308" s="3">
        <v>600385.76417809899</v>
      </c>
      <c r="C308" s="3">
        <v>-102945.94417809899</v>
      </c>
    </row>
    <row r="309" spans="1:3">
      <c r="A309" s="3">
        <v>285</v>
      </c>
      <c r="B309" s="3">
        <v>688941.70516429527</v>
      </c>
      <c r="C309" s="3">
        <v>-52166.045164295239</v>
      </c>
    </row>
    <row r="310" spans="1:3">
      <c r="A310" s="3">
        <v>286</v>
      </c>
      <c r="B310" s="3">
        <v>719514.05893320113</v>
      </c>
      <c r="C310" s="3">
        <v>-86504.528933201102</v>
      </c>
    </row>
    <row r="311" spans="1:3">
      <c r="A311" s="3">
        <v>287</v>
      </c>
      <c r="B311" s="3">
        <v>678696.12660148111</v>
      </c>
      <c r="C311" s="3">
        <v>-68747.126601481112</v>
      </c>
    </row>
    <row r="312" spans="1:3">
      <c r="A312" s="3">
        <v>288</v>
      </c>
      <c r="B312" s="3">
        <v>647938.07386400958</v>
      </c>
      <c r="C312" s="3">
        <v>-99834.373864009627</v>
      </c>
    </row>
    <row r="313" spans="1:3">
      <c r="A313" s="3">
        <v>289</v>
      </c>
      <c r="B313" s="3">
        <v>709874.04641054035</v>
      </c>
      <c r="C313" s="3">
        <v>19550.37358945969</v>
      </c>
    </row>
    <row r="314" spans="1:3">
      <c r="A314" s="3">
        <v>290</v>
      </c>
      <c r="B314" s="3">
        <v>707524.80538790964</v>
      </c>
      <c r="C314" s="3">
        <v>-11263.31538790965</v>
      </c>
    </row>
    <row r="315" spans="1:3">
      <c r="A315" s="3">
        <v>291</v>
      </c>
      <c r="B315" s="3">
        <v>681603.69968349941</v>
      </c>
      <c r="C315" s="3">
        <v>131713.01031650056</v>
      </c>
    </row>
    <row r="316" spans="1:3">
      <c r="A316" s="3">
        <v>292</v>
      </c>
      <c r="B316" s="3">
        <v>675946.71707904304</v>
      </c>
      <c r="C316" s="3">
        <v>26122.202920957003</v>
      </c>
    </row>
    <row r="317" spans="1:3">
      <c r="A317" s="3">
        <v>293</v>
      </c>
      <c r="B317" s="3">
        <v>671507.42564690253</v>
      </c>
      <c r="C317" s="3">
        <v>-125283.72564690257</v>
      </c>
    </row>
    <row r="318" spans="1:3">
      <c r="A318" s="3">
        <v>294</v>
      </c>
      <c r="B318" s="3">
        <v>646179.44926273264</v>
      </c>
      <c r="C318" s="3">
        <v>-113058.18926273263</v>
      </c>
    </row>
    <row r="319" spans="1:3">
      <c r="A319" s="3">
        <v>295</v>
      </c>
      <c r="B319" s="3">
        <v>688180.27550591552</v>
      </c>
      <c r="C319" s="3">
        <v>-189209.95550591551</v>
      </c>
    </row>
    <row r="320" spans="1:3">
      <c r="A320" s="3">
        <v>296</v>
      </c>
      <c r="B320" s="3">
        <v>619124.04655583482</v>
      </c>
      <c r="C320" s="3">
        <v>-131385.78655583481</v>
      </c>
    </row>
    <row r="321" spans="1:3">
      <c r="A321" s="3">
        <v>297</v>
      </c>
      <c r="B321" s="3">
        <v>679180.79665028735</v>
      </c>
      <c r="C321" s="3">
        <v>-10721.426650287351</v>
      </c>
    </row>
    <row r="322" spans="1:3">
      <c r="A322" s="3">
        <v>298</v>
      </c>
      <c r="B322" s="3">
        <v>678921.09493908775</v>
      </c>
      <c r="C322" s="3">
        <v>84241.355060912203</v>
      </c>
    </row>
    <row r="323" spans="1:3">
      <c r="A323" s="3">
        <v>299</v>
      </c>
      <c r="B323" s="3">
        <v>659109.84732829907</v>
      </c>
      <c r="C323" s="3">
        <v>-60092.517328299116</v>
      </c>
    </row>
    <row r="324" spans="1:3">
      <c r="A324" s="3">
        <v>300</v>
      </c>
      <c r="B324" s="3">
        <v>612660.14656400145</v>
      </c>
      <c r="C324" s="3">
        <v>-211077.56656400143</v>
      </c>
    </row>
    <row r="325" spans="1:3">
      <c r="A325" s="3">
        <v>301</v>
      </c>
      <c r="B325" s="3">
        <v>647339.62060545024</v>
      </c>
      <c r="C325" s="3">
        <v>56473.369394549751</v>
      </c>
    </row>
    <row r="326" spans="1:3">
      <c r="A326" s="3">
        <v>302</v>
      </c>
      <c r="B326" s="3">
        <v>697042.4393444208</v>
      </c>
      <c r="C326" s="3">
        <v>27304.290655579185</v>
      </c>
    </row>
    <row r="327" spans="1:3">
      <c r="A327" s="3">
        <v>303</v>
      </c>
      <c r="B327" s="3">
        <v>673312.09166676202</v>
      </c>
      <c r="C327" s="3">
        <v>57577.918333237991</v>
      </c>
    </row>
    <row r="328" spans="1:3">
      <c r="A328" s="3">
        <v>304</v>
      </c>
      <c r="B328" s="3">
        <v>628917.89960016066</v>
      </c>
      <c r="C328" s="3">
        <v>151663.0503998393</v>
      </c>
    </row>
    <row r="329" spans="1:3">
      <c r="A329" s="3">
        <v>305</v>
      </c>
      <c r="B329" s="3">
        <v>677793.29314134945</v>
      </c>
      <c r="C329" s="3">
        <v>50164.18685865053</v>
      </c>
    </row>
    <row r="330" spans="1:3">
      <c r="A330" s="3">
        <v>306</v>
      </c>
      <c r="B330" s="3">
        <v>659049.23961447587</v>
      </c>
      <c r="C330" s="3">
        <v>-120673.23961447587</v>
      </c>
    </row>
    <row r="331" spans="1:3">
      <c r="A331" s="3">
        <v>307</v>
      </c>
      <c r="B331" s="3">
        <v>608452.7019977757</v>
      </c>
      <c r="C331" s="3">
        <v>56889.78800222429</v>
      </c>
    </row>
    <row r="332" spans="1:3">
      <c r="A332" s="3">
        <v>308</v>
      </c>
      <c r="B332" s="3">
        <v>690008.60110766452</v>
      </c>
      <c r="C332" s="3">
        <v>-38844.421107664471</v>
      </c>
    </row>
    <row r="333" spans="1:3">
      <c r="A333" s="3">
        <v>309</v>
      </c>
      <c r="B333" s="3">
        <v>663988.49144627457</v>
      </c>
      <c r="C333" s="3">
        <v>-35450.191446274519</v>
      </c>
    </row>
    <row r="334" spans="1:3">
      <c r="A334" s="3">
        <v>310</v>
      </c>
      <c r="B334" s="3">
        <v>611253.34910259559</v>
      </c>
      <c r="C334" s="3">
        <v>-74728.509102595621</v>
      </c>
    </row>
    <row r="335" spans="1:3">
      <c r="A335" s="3">
        <v>311</v>
      </c>
      <c r="B335" s="3">
        <v>676462.13819557964</v>
      </c>
      <c r="C335" s="3">
        <v>-54784.838195579592</v>
      </c>
    </row>
    <row r="336" spans="1:3">
      <c r="A336" s="3">
        <v>312</v>
      </c>
      <c r="B336" s="3">
        <v>743977.42773436964</v>
      </c>
      <c r="C336" s="3">
        <v>27151.642265630304</v>
      </c>
    </row>
    <row r="337" spans="1:3">
      <c r="A337" s="3">
        <v>313</v>
      </c>
      <c r="B337" s="3">
        <v>728944.62772239337</v>
      </c>
      <c r="C337" s="3">
        <v>-26892.1577223934</v>
      </c>
    </row>
    <row r="338" spans="1:3">
      <c r="A338" s="3">
        <v>314</v>
      </c>
      <c r="B338" s="3">
        <v>660373.30307440483</v>
      </c>
      <c r="C338" s="3">
        <v>27995.156925595133</v>
      </c>
    </row>
    <row r="339" spans="1:3">
      <c r="A339" s="3">
        <v>315</v>
      </c>
      <c r="B339" s="3">
        <v>693891.05118314689</v>
      </c>
      <c r="C339" s="3">
        <v>18484.718816853128</v>
      </c>
    </row>
    <row r="340" spans="1:3">
      <c r="A340" s="3">
        <v>316</v>
      </c>
      <c r="B340" s="3">
        <v>702300.99970083835</v>
      </c>
      <c r="C340" s="3">
        <v>142409.67029916169</v>
      </c>
    </row>
    <row r="341" spans="1:3">
      <c r="A341" s="3">
        <v>317</v>
      </c>
      <c r="B341" s="3">
        <v>723933.31106150895</v>
      </c>
      <c r="C341" s="3">
        <v>-103669.111061509</v>
      </c>
    </row>
    <row r="342" spans="1:3">
      <c r="A342" s="3">
        <v>318</v>
      </c>
      <c r="B342" s="3">
        <v>612074.68371494045</v>
      </c>
      <c r="C342" s="3">
        <v>-75229.263714940404</v>
      </c>
    </row>
    <row r="343" spans="1:3">
      <c r="A343" s="3">
        <v>319</v>
      </c>
      <c r="B343" s="3">
        <v>735195.05908338912</v>
      </c>
      <c r="C343" s="3">
        <v>-8418.8390833891463</v>
      </c>
    </row>
    <row r="344" spans="1:3" ht="15" thickBot="1">
      <c r="A344" s="4">
        <v>320</v>
      </c>
      <c r="B344" s="4">
        <v>647138.24796247343</v>
      </c>
      <c r="C344" s="4">
        <v>-87477.407962473459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1CD6-D987-4CB9-85A5-9986D06205A3}">
  <dimension ref="A1:I344"/>
  <sheetViews>
    <sheetView workbookViewId="0">
      <selection sqref="A1:XFD1048576"/>
    </sheetView>
  </sheetViews>
  <sheetFormatPr defaultRowHeight="14.6"/>
  <sheetData>
    <row r="1" spans="1:9">
      <c r="A1" t="s">
        <v>108</v>
      </c>
    </row>
    <row r="2" spans="1:9" ht="15" thickBot="1"/>
    <row r="3" spans="1:9">
      <c r="A3" s="6" t="s">
        <v>109</v>
      </c>
      <c r="B3" s="6"/>
    </row>
    <row r="4" spans="1:9">
      <c r="A4" s="3" t="s">
        <v>110</v>
      </c>
      <c r="B4" s="3">
        <v>0.85807070804410468</v>
      </c>
    </row>
    <row r="5" spans="1:9">
      <c r="A5" s="3" t="s">
        <v>111</v>
      </c>
      <c r="B5" s="3">
        <v>0.73628534000331114</v>
      </c>
    </row>
    <row r="6" spans="1:9">
      <c r="A6" s="3" t="s">
        <v>112</v>
      </c>
      <c r="B6" s="3">
        <v>0.73545604861967373</v>
      </c>
    </row>
    <row r="7" spans="1:9">
      <c r="A7" s="3" t="s">
        <v>113</v>
      </c>
      <c r="B7" s="3">
        <v>53373.736380790499</v>
      </c>
    </row>
    <row r="8" spans="1:9" ht="15" thickBot="1">
      <c r="A8" s="4" t="s">
        <v>114</v>
      </c>
      <c r="B8" s="4">
        <v>320</v>
      </c>
    </row>
    <row r="10" spans="1:9" ht="15" thickBot="1">
      <c r="A10" t="s">
        <v>115</v>
      </c>
    </row>
    <row r="11" spans="1:9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s="3" t="s">
        <v>116</v>
      </c>
      <c r="B12" s="3">
        <v>1</v>
      </c>
      <c r="C12" s="3">
        <v>2529264292982.4736</v>
      </c>
      <c r="D12" s="3">
        <v>2529264292982.4736</v>
      </c>
      <c r="E12" s="3">
        <v>887.84877611276033</v>
      </c>
      <c r="F12" s="3">
        <v>4.7503615090053331E-94</v>
      </c>
    </row>
    <row r="13" spans="1:9">
      <c r="A13" s="3" t="s">
        <v>117</v>
      </c>
      <c r="B13" s="3">
        <v>318</v>
      </c>
      <c r="C13" s="3">
        <v>905904323808.26587</v>
      </c>
      <c r="D13" s="3">
        <v>2848755735.246119</v>
      </c>
      <c r="E13" s="3"/>
      <c r="F13" s="3"/>
    </row>
    <row r="14" spans="1:9" ht="15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s="3" t="s">
        <v>119</v>
      </c>
      <c r="B17" s="3">
        <v>446410.58293395344</v>
      </c>
      <c r="C17" s="3">
        <v>8407.7382630059928</v>
      </c>
      <c r="D17" s="3">
        <v>53.095204556754318</v>
      </c>
      <c r="E17" s="3">
        <v>4.0862695711507226E-160</v>
      </c>
      <c r="F17" s="3">
        <v>429868.76191129786</v>
      </c>
      <c r="G17" s="3">
        <v>462952.40395660902</v>
      </c>
      <c r="H17" s="3">
        <v>429868.76191129786</v>
      </c>
      <c r="I17" s="3">
        <v>462952.40395660902</v>
      </c>
    </row>
    <row r="18" spans="1:9" ht="15" thickBot="1">
      <c r="A18" s="4" t="s">
        <v>5</v>
      </c>
      <c r="B18" s="4">
        <v>35.678031072640458</v>
      </c>
      <c r="C18" s="4">
        <v>1.1973782890340821</v>
      </c>
      <c r="D18" s="4">
        <v>29.796791372776362</v>
      </c>
      <c r="E18" s="4">
        <v>4.7503615090054677E-94</v>
      </c>
      <c r="F18" s="4">
        <v>33.322246825554025</v>
      </c>
      <c r="G18" s="4">
        <v>38.033815319726891</v>
      </c>
      <c r="H18" s="4">
        <v>33.322246825554025</v>
      </c>
      <c r="I18" s="4">
        <v>38.033815319726891</v>
      </c>
    </row>
    <row r="22" spans="1:9">
      <c r="A22" t="s">
        <v>132</v>
      </c>
    </row>
    <row r="23" spans="1:9" ht="15" thickBot="1"/>
    <row r="24" spans="1:9">
      <c r="A24" s="5" t="s">
        <v>133</v>
      </c>
      <c r="B24" s="5" t="s">
        <v>134</v>
      </c>
      <c r="C24" s="5" t="s">
        <v>135</v>
      </c>
    </row>
    <row r="25" spans="1:9">
      <c r="A25" s="3">
        <v>1</v>
      </c>
      <c r="B25" s="3">
        <v>742609.59689901455</v>
      </c>
      <c r="C25" s="3">
        <v>-83776.976899014553</v>
      </c>
    </row>
    <row r="26" spans="1:9">
      <c r="A26" s="3">
        <v>2</v>
      </c>
      <c r="B26" s="3">
        <v>749210.03264745302</v>
      </c>
      <c r="C26" s="3">
        <v>-114774.03264745302</v>
      </c>
    </row>
    <row r="27" spans="1:9">
      <c r="A27" s="3">
        <v>3</v>
      </c>
      <c r="B27" s="3">
        <v>771544.480098926</v>
      </c>
      <c r="C27" s="3">
        <v>-92822.420098925941</v>
      </c>
    </row>
    <row r="28" spans="1:9">
      <c r="A28" s="3">
        <v>4</v>
      </c>
      <c r="B28" s="3">
        <v>782890.09398002562</v>
      </c>
      <c r="C28" s="3">
        <v>-123969.79398002557</v>
      </c>
    </row>
    <row r="29" spans="1:9">
      <c r="A29" s="3">
        <v>5</v>
      </c>
      <c r="B29" s="3">
        <v>786957.38952230662</v>
      </c>
      <c r="C29" s="3">
        <v>-45615.949522306677</v>
      </c>
    </row>
    <row r="30" spans="1:9">
      <c r="A30" s="3">
        <v>6</v>
      </c>
      <c r="B30" s="3">
        <v>795769.86319724878</v>
      </c>
      <c r="C30" s="3">
        <v>-33934.523197248811</v>
      </c>
    </row>
    <row r="31" spans="1:9">
      <c r="A31" s="3">
        <v>7</v>
      </c>
      <c r="B31" s="3">
        <v>825168.56080110453</v>
      </c>
      <c r="C31" s="3">
        <v>-18553.020801104489</v>
      </c>
    </row>
    <row r="32" spans="1:9">
      <c r="A32" s="3">
        <v>8</v>
      </c>
      <c r="B32" s="3">
        <v>752064.27513326425</v>
      </c>
      <c r="C32" s="3">
        <v>98099.984866735758</v>
      </c>
    </row>
    <row r="33" spans="1:3">
      <c r="A33" s="3">
        <v>9</v>
      </c>
      <c r="B33" s="3">
        <v>838119.68608047301</v>
      </c>
      <c r="C33" s="3">
        <v>92462.013919526944</v>
      </c>
    </row>
    <row r="34" spans="1:3">
      <c r="A34" s="3">
        <v>10</v>
      </c>
      <c r="B34" s="3">
        <v>783889.07885005954</v>
      </c>
      <c r="C34" s="3">
        <v>-4878.1388500595931</v>
      </c>
    </row>
    <row r="35" spans="1:3">
      <c r="A35" s="3">
        <v>11</v>
      </c>
      <c r="B35" s="3">
        <v>773649.48393221176</v>
      </c>
      <c r="C35" s="3">
        <v>-50588.723932211753</v>
      </c>
    </row>
    <row r="36" spans="1:3">
      <c r="A36" s="3">
        <v>12</v>
      </c>
      <c r="B36" s="3">
        <v>847074.87187970581</v>
      </c>
      <c r="C36" s="3">
        <v>63717.068120294134</v>
      </c>
    </row>
    <row r="37" spans="1:3">
      <c r="A37" s="3">
        <v>13</v>
      </c>
      <c r="B37" s="3">
        <v>902197.42988693528</v>
      </c>
      <c r="C37" s="3">
        <v>19971.170113064698</v>
      </c>
    </row>
    <row r="38" spans="1:3">
      <c r="A38" s="3">
        <v>14</v>
      </c>
      <c r="B38" s="3">
        <v>805117.50733828056</v>
      </c>
      <c r="C38" s="3">
        <v>-78511.227338280529</v>
      </c>
    </row>
    <row r="39" spans="1:3">
      <c r="A39" s="3">
        <v>15</v>
      </c>
      <c r="B39" s="3">
        <v>763766.66932509025</v>
      </c>
      <c r="C39" s="3">
        <v>-17265.579325090279</v>
      </c>
    </row>
    <row r="40" spans="1:3">
      <c r="A40" s="3">
        <v>16</v>
      </c>
      <c r="B40" s="3">
        <v>836728.24286863999</v>
      </c>
      <c r="C40" s="3">
        <v>-2711.2228686399758</v>
      </c>
    </row>
    <row r="41" spans="1:3">
      <c r="A41" s="3">
        <v>17</v>
      </c>
      <c r="B41" s="3">
        <v>698190.44821357715</v>
      </c>
      <c r="C41" s="3">
        <v>-32037.928213577135</v>
      </c>
    </row>
    <row r="42" spans="1:3">
      <c r="A42" s="3">
        <v>18</v>
      </c>
      <c r="B42" s="3">
        <v>598506.02939661965</v>
      </c>
      <c r="C42" s="3">
        <v>-25350.839396619704</v>
      </c>
    </row>
    <row r="43" spans="1:3">
      <c r="A43" s="3">
        <v>19</v>
      </c>
      <c r="B43" s="3">
        <v>643995.51901423628</v>
      </c>
      <c r="C43" s="3">
        <v>22577.680985763669</v>
      </c>
    </row>
    <row r="44" spans="1:3">
      <c r="A44" s="3">
        <v>20</v>
      </c>
      <c r="B44" s="3">
        <v>619984.20410234923</v>
      </c>
      <c r="C44" s="3">
        <v>-28364.254102349281</v>
      </c>
    </row>
    <row r="45" spans="1:3">
      <c r="A45" s="3">
        <v>21</v>
      </c>
      <c r="B45" s="3">
        <v>547093.98662094481</v>
      </c>
      <c r="C45" s="3">
        <v>-131372.1666209448</v>
      </c>
    </row>
    <row r="46" spans="1:3">
      <c r="A46" s="3">
        <v>22</v>
      </c>
      <c r="B46" s="3">
        <v>522083.68683902384</v>
      </c>
      <c r="C46" s="3">
        <v>-30178.556839023833</v>
      </c>
    </row>
    <row r="47" spans="1:3">
      <c r="A47" s="3">
        <v>23</v>
      </c>
      <c r="B47" s="3">
        <v>566431.47946231591</v>
      </c>
      <c r="C47" s="3">
        <v>-10502.079462315887</v>
      </c>
    </row>
    <row r="48" spans="1:3">
      <c r="A48" s="3">
        <v>24</v>
      </c>
      <c r="B48" s="3">
        <v>539637.27812676295</v>
      </c>
      <c r="C48" s="3">
        <v>26173.711873237044</v>
      </c>
    </row>
    <row r="49" spans="1:3">
      <c r="A49" s="3">
        <v>25</v>
      </c>
      <c r="B49" s="3">
        <v>810968.70443419367</v>
      </c>
      <c r="C49" s="3">
        <v>802.43556580634322</v>
      </c>
    </row>
    <row r="50" spans="1:3">
      <c r="A50" s="3">
        <v>26</v>
      </c>
      <c r="B50" s="3">
        <v>764908.36631941481</v>
      </c>
      <c r="C50" s="3">
        <v>35543.573680585134</v>
      </c>
    </row>
    <row r="51" spans="1:3">
      <c r="A51" s="3">
        <v>27</v>
      </c>
      <c r="B51" s="3">
        <v>778751.44237559929</v>
      </c>
      <c r="C51" s="3">
        <v>4921.3776244006585</v>
      </c>
    </row>
    <row r="52" spans="1:3">
      <c r="A52" s="3">
        <v>28</v>
      </c>
      <c r="B52" s="3">
        <v>704113.00137163547</v>
      </c>
      <c r="C52" s="3">
        <v>-2471.0313716355013</v>
      </c>
    </row>
    <row r="53" spans="1:3">
      <c r="A53" s="3">
        <v>29</v>
      </c>
      <c r="B53" s="3">
        <v>588694.57085164357</v>
      </c>
      <c r="C53" s="3">
        <v>-76850.160851643595</v>
      </c>
    </row>
    <row r="54" spans="1:3">
      <c r="A54" s="3">
        <v>30</v>
      </c>
      <c r="B54" s="3">
        <v>531681.07719756418</v>
      </c>
      <c r="C54" s="3">
        <v>5702.7128024358535</v>
      </c>
    </row>
    <row r="55" spans="1:3">
      <c r="A55" s="3">
        <v>31</v>
      </c>
      <c r="B55" s="3">
        <v>534570.99771444802</v>
      </c>
      <c r="C55" s="3">
        <v>-34397.977714448003</v>
      </c>
    </row>
    <row r="56" spans="1:3">
      <c r="A56" s="3">
        <v>32</v>
      </c>
      <c r="B56" s="3">
        <v>481053.9511054873</v>
      </c>
      <c r="C56" s="3">
        <v>-53136.571105487295</v>
      </c>
    </row>
    <row r="57" spans="1:3">
      <c r="A57" s="3">
        <v>33</v>
      </c>
      <c r="B57" s="3">
        <v>782818.73791788029</v>
      </c>
      <c r="C57" s="3">
        <v>-140953.70791788027</v>
      </c>
    </row>
    <row r="58" spans="1:3">
      <c r="A58" s="3">
        <v>34</v>
      </c>
      <c r="B58" s="3">
        <v>863665.1563284836</v>
      </c>
      <c r="C58" s="3">
        <v>-64187.396328483592</v>
      </c>
    </row>
    <row r="59" spans="1:3">
      <c r="A59" s="3">
        <v>35</v>
      </c>
      <c r="B59" s="3">
        <v>783532.29853933305</v>
      </c>
      <c r="C59" s="3">
        <v>15419.871460666996</v>
      </c>
    </row>
    <row r="60" spans="1:3">
      <c r="A60" s="3">
        <v>36</v>
      </c>
      <c r="B60" s="3">
        <v>819353.04173626413</v>
      </c>
      <c r="C60" s="3">
        <v>-18373.261736264103</v>
      </c>
    </row>
    <row r="61" spans="1:3">
      <c r="A61" s="3">
        <v>37</v>
      </c>
      <c r="B61" s="3">
        <v>761733.0215539498</v>
      </c>
      <c r="C61" s="3">
        <v>58860.908446050249</v>
      </c>
    </row>
    <row r="62" spans="1:3">
      <c r="A62" s="3">
        <v>38</v>
      </c>
      <c r="B62" s="3">
        <v>737400.6043624091</v>
      </c>
      <c r="C62" s="3">
        <v>-19070.074362409068</v>
      </c>
    </row>
    <row r="63" spans="1:3">
      <c r="A63" s="3">
        <v>39</v>
      </c>
      <c r="B63" s="3">
        <v>716207.85390526056</v>
      </c>
      <c r="C63" s="3">
        <v>20425.54609473946</v>
      </c>
    </row>
    <row r="64" spans="1:3">
      <c r="A64" s="3">
        <v>40</v>
      </c>
      <c r="B64" s="3">
        <v>788848.32516915654</v>
      </c>
      <c r="C64" s="3">
        <v>39775.524830843438</v>
      </c>
    </row>
    <row r="65" spans="1:3">
      <c r="A65" s="3">
        <v>41</v>
      </c>
      <c r="B65" s="3">
        <v>576992.17665981757</v>
      </c>
      <c r="C65" s="3">
        <v>15203.673340182402</v>
      </c>
    </row>
    <row r="66" spans="1:3">
      <c r="A66" s="3">
        <v>42</v>
      </c>
      <c r="B66" s="3">
        <v>561543.58920536423</v>
      </c>
      <c r="C66" s="3">
        <v>-28899.129205364268</v>
      </c>
    </row>
    <row r="67" spans="1:3">
      <c r="A67" s="3">
        <v>43</v>
      </c>
      <c r="B67" s="3">
        <v>566288.76733802538</v>
      </c>
      <c r="C67" s="3">
        <v>91140.412661974668</v>
      </c>
    </row>
    <row r="68" spans="1:3">
      <c r="A68" s="3">
        <v>44</v>
      </c>
      <c r="B68" s="3">
        <v>576349.97210051003</v>
      </c>
      <c r="C68" s="3">
        <v>28828.027899489971</v>
      </c>
    </row>
    <row r="69" spans="1:3">
      <c r="A69" s="3">
        <v>45</v>
      </c>
      <c r="B69" s="3">
        <v>629974.05280268856</v>
      </c>
      <c r="C69" s="3">
        <v>-34506.452802688582</v>
      </c>
    </row>
    <row r="70" spans="1:3">
      <c r="A70" s="3">
        <v>46</v>
      </c>
      <c r="B70" s="3">
        <v>605534.60151792993</v>
      </c>
      <c r="C70" s="3">
        <v>-5931.2015179299051</v>
      </c>
    </row>
    <row r="71" spans="1:3">
      <c r="A71" s="3">
        <v>47</v>
      </c>
      <c r="B71" s="3">
        <v>582129.81313427771</v>
      </c>
      <c r="C71" s="3">
        <v>32670.276865722262</v>
      </c>
    </row>
    <row r="72" spans="1:3">
      <c r="A72" s="3">
        <v>48</v>
      </c>
      <c r="B72" s="3">
        <v>591762.88152389065</v>
      </c>
      <c r="C72" s="3">
        <v>-6397.1515238906723</v>
      </c>
    </row>
    <row r="73" spans="1:3">
      <c r="A73" s="3">
        <v>49</v>
      </c>
      <c r="B73" s="3">
        <v>628511.25352871034</v>
      </c>
      <c r="C73" s="3">
        <v>-5699.5135287103476</v>
      </c>
    </row>
    <row r="74" spans="1:3">
      <c r="A74" s="3">
        <v>50</v>
      </c>
      <c r="B74" s="3">
        <v>644744.75766676175</v>
      </c>
      <c r="C74" s="3">
        <v>-41447.187666761805</v>
      </c>
    </row>
    <row r="75" spans="1:3">
      <c r="A75" s="3">
        <v>51</v>
      </c>
      <c r="B75" s="3">
        <v>630152.4429580518</v>
      </c>
      <c r="C75" s="3">
        <v>-4479.5829580518184</v>
      </c>
    </row>
    <row r="76" spans="1:3">
      <c r="A76" s="3">
        <v>52</v>
      </c>
      <c r="B76" s="3">
        <v>702899.9483151657</v>
      </c>
      <c r="C76" s="3">
        <v>70915.19168483431</v>
      </c>
    </row>
    <row r="77" spans="1:3">
      <c r="A77" s="3">
        <v>53</v>
      </c>
      <c r="B77" s="3">
        <v>563398.84682114155</v>
      </c>
      <c r="C77" s="3">
        <v>-99864.596821141546</v>
      </c>
    </row>
    <row r="78" spans="1:3">
      <c r="A78" s="3">
        <v>54</v>
      </c>
      <c r="B78" s="3">
        <v>656447.15185858775</v>
      </c>
      <c r="C78" s="3">
        <v>90230.598141412251</v>
      </c>
    </row>
    <row r="79" spans="1:3">
      <c r="A79" s="3">
        <v>55</v>
      </c>
      <c r="B79" s="3">
        <v>643210.60233063821</v>
      </c>
      <c r="C79" s="3">
        <v>77641.897669361788</v>
      </c>
    </row>
    <row r="80" spans="1:3">
      <c r="A80" s="3">
        <v>56</v>
      </c>
      <c r="B80" s="3">
        <v>548556.78589492303</v>
      </c>
      <c r="C80" s="3">
        <v>-61091.875894923054</v>
      </c>
    </row>
    <row r="81" spans="1:3">
      <c r="A81" s="3">
        <v>57</v>
      </c>
      <c r="B81" s="3">
        <v>531252.94082469249</v>
      </c>
      <c r="C81" s="3">
        <v>-13203.680824692477</v>
      </c>
    </row>
    <row r="82" spans="1:3">
      <c r="A82" s="3">
        <v>58</v>
      </c>
      <c r="B82" s="3">
        <v>536140.83108164417</v>
      </c>
      <c r="C82" s="3">
        <v>-35842.351081644185</v>
      </c>
    </row>
    <row r="83" spans="1:3">
      <c r="A83" s="3">
        <v>59</v>
      </c>
      <c r="B83" s="3">
        <v>589907.62390811334</v>
      </c>
      <c r="C83" s="3">
        <v>27383.526091886684</v>
      </c>
    </row>
    <row r="84" spans="1:3">
      <c r="A84" s="3">
        <v>60</v>
      </c>
      <c r="B84" s="3">
        <v>602573.32493890077</v>
      </c>
      <c r="C84" s="3">
        <v>-48816.894938900718</v>
      </c>
    </row>
    <row r="85" spans="1:3">
      <c r="A85" s="3">
        <v>61</v>
      </c>
      <c r="B85" s="3">
        <v>635718.21580538375</v>
      </c>
      <c r="C85" s="3">
        <v>113841.49419461621</v>
      </c>
    </row>
    <row r="86" spans="1:3">
      <c r="A86" s="3">
        <v>62</v>
      </c>
      <c r="B86" s="3">
        <v>586553.8889872852</v>
      </c>
      <c r="C86" s="3">
        <v>29412.59101271478</v>
      </c>
    </row>
    <row r="87" spans="1:3">
      <c r="A87" s="3">
        <v>63</v>
      </c>
      <c r="B87" s="3">
        <v>583592.61240825604</v>
      </c>
      <c r="C87" s="3">
        <v>-11581.412408256088</v>
      </c>
    </row>
    <row r="88" spans="1:3">
      <c r="A88" s="3">
        <v>64</v>
      </c>
      <c r="B88" s="3">
        <v>682599.14863483328</v>
      </c>
      <c r="C88" s="3">
        <v>79261.04136516666</v>
      </c>
    </row>
    <row r="89" spans="1:3">
      <c r="A89" s="3">
        <v>65</v>
      </c>
      <c r="B89" s="3">
        <v>773756.51802542969</v>
      </c>
      <c r="C89" s="3">
        <v>10746.161974570365</v>
      </c>
    </row>
    <row r="90" spans="1:3">
      <c r="A90" s="3">
        <v>66</v>
      </c>
      <c r="B90" s="3">
        <v>729694.14965071867</v>
      </c>
      <c r="C90" s="3">
        <v>-12552.599650718621</v>
      </c>
    </row>
    <row r="91" spans="1:3">
      <c r="A91" s="3">
        <v>67</v>
      </c>
      <c r="B91" s="3">
        <v>789918.66610133578</v>
      </c>
      <c r="C91" s="3">
        <v>-104539.58610133582</v>
      </c>
    </row>
    <row r="92" spans="1:3">
      <c r="A92" s="3">
        <v>68</v>
      </c>
      <c r="B92" s="3">
        <v>742395.5287125787</v>
      </c>
      <c r="C92" s="3">
        <v>-1898.8787125786766</v>
      </c>
    </row>
    <row r="93" spans="1:3">
      <c r="A93" s="3">
        <v>69</v>
      </c>
      <c r="B93" s="3">
        <v>574673.10464009584</v>
      </c>
      <c r="C93" s="3">
        <v>87254.03535990417</v>
      </c>
    </row>
    <row r="94" spans="1:3">
      <c r="A94" s="3">
        <v>70</v>
      </c>
      <c r="B94" s="3">
        <v>547522.12299381651</v>
      </c>
      <c r="C94" s="3">
        <v>-68471.622993816505</v>
      </c>
    </row>
    <row r="95" spans="1:3">
      <c r="A95" s="3">
        <v>71</v>
      </c>
      <c r="B95" s="3">
        <v>560330.53614889446</v>
      </c>
      <c r="C95" s="3">
        <v>44693.333851105534</v>
      </c>
    </row>
    <row r="96" spans="1:3">
      <c r="A96" s="3">
        <v>72</v>
      </c>
      <c r="B96" s="3">
        <v>642104.58336738637</v>
      </c>
      <c r="C96" s="3">
        <v>32669.5066326136</v>
      </c>
    </row>
    <row r="97" spans="1:3">
      <c r="A97" s="3">
        <v>73</v>
      </c>
      <c r="B97" s="3">
        <v>657553.17082183971</v>
      </c>
      <c r="C97" s="3">
        <v>-41483.760821839678</v>
      </c>
    </row>
    <row r="98" spans="1:3">
      <c r="A98" s="3">
        <v>74</v>
      </c>
      <c r="B98" s="3">
        <v>689770.43288043397</v>
      </c>
      <c r="C98" s="3">
        <v>-58940.492880434031</v>
      </c>
    </row>
    <row r="99" spans="1:3">
      <c r="A99" s="3">
        <v>75</v>
      </c>
      <c r="B99" s="3">
        <v>689235.26241434435</v>
      </c>
      <c r="C99" s="3">
        <v>98852.417585655698</v>
      </c>
    </row>
    <row r="100" spans="1:3">
      <c r="A100" s="3">
        <v>76</v>
      </c>
      <c r="B100" s="3">
        <v>740825.69534538244</v>
      </c>
      <c r="C100" s="3">
        <v>-59985.335345382453</v>
      </c>
    </row>
    <row r="101" spans="1:3">
      <c r="A101" s="3">
        <v>77</v>
      </c>
      <c r="B101" s="3">
        <v>684097.62593988422</v>
      </c>
      <c r="C101" s="3">
        <v>-40440.155939884251</v>
      </c>
    </row>
    <row r="102" spans="1:3">
      <c r="A102" s="3">
        <v>78</v>
      </c>
      <c r="B102" s="3">
        <v>659123.00418903586</v>
      </c>
      <c r="C102" s="3">
        <v>31989.595810964121</v>
      </c>
    </row>
    <row r="103" spans="1:3">
      <c r="A103" s="3">
        <v>79</v>
      </c>
      <c r="B103" s="3">
        <v>712925.47504657763</v>
      </c>
      <c r="C103" s="3">
        <v>63996.694953422411</v>
      </c>
    </row>
    <row r="104" spans="1:3">
      <c r="A104" s="3">
        <v>80</v>
      </c>
      <c r="B104" s="3">
        <v>659551.14056190755</v>
      </c>
      <c r="C104" s="3">
        <v>-22989.800561907585</v>
      </c>
    </row>
    <row r="105" spans="1:3">
      <c r="A105" s="3">
        <v>81</v>
      </c>
      <c r="B105" s="3">
        <v>639428.73103693826</v>
      </c>
      <c r="C105" s="3">
        <v>-18059.151036938303</v>
      </c>
    </row>
    <row r="106" spans="1:3">
      <c r="A106" s="3">
        <v>82</v>
      </c>
      <c r="B106" s="3">
        <v>605213.49923827616</v>
      </c>
      <c r="C106" s="3">
        <v>76994.510761723854</v>
      </c>
    </row>
    <row r="107" spans="1:3">
      <c r="A107" s="3">
        <v>83</v>
      </c>
      <c r="B107" s="3">
        <v>612099.35923529579</v>
      </c>
      <c r="C107" s="3">
        <v>115142.50076470419</v>
      </c>
    </row>
    <row r="108" spans="1:3">
      <c r="A108" s="3">
        <v>84</v>
      </c>
      <c r="B108" s="3">
        <v>573388.69552148087</v>
      </c>
      <c r="C108" s="3">
        <v>-4287.9155214808416</v>
      </c>
    </row>
    <row r="109" spans="1:3">
      <c r="A109" s="3">
        <v>85</v>
      </c>
      <c r="B109" s="3">
        <v>556691.37697948515</v>
      </c>
      <c r="C109" s="3">
        <v>17744.913020514883</v>
      </c>
    </row>
    <row r="110" spans="1:3">
      <c r="A110" s="3">
        <v>86</v>
      </c>
      <c r="B110" s="3">
        <v>589265.41934880579</v>
      </c>
      <c r="C110" s="3">
        <v>22501.300651194178</v>
      </c>
    </row>
    <row r="111" spans="1:3">
      <c r="A111" s="3">
        <v>87</v>
      </c>
      <c r="B111" s="3">
        <v>581558.96463711548</v>
      </c>
      <c r="C111" s="3">
        <v>33037.355362884467</v>
      </c>
    </row>
    <row r="112" spans="1:3">
      <c r="A112" s="3">
        <v>88</v>
      </c>
      <c r="B112" s="3">
        <v>491364.9020854804</v>
      </c>
      <c r="C112" s="3">
        <v>-40652.982085480413</v>
      </c>
    </row>
    <row r="113" spans="1:3">
      <c r="A113" s="3">
        <v>89</v>
      </c>
      <c r="B113" s="3">
        <v>697013.07318817999</v>
      </c>
      <c r="C113" s="3">
        <v>14200.386811819975</v>
      </c>
    </row>
    <row r="114" spans="1:3">
      <c r="A114" s="3">
        <v>90</v>
      </c>
      <c r="B114" s="3">
        <v>639071.95072621189</v>
      </c>
      <c r="C114" s="3">
        <v>-11900.050726211863</v>
      </c>
    </row>
    <row r="115" spans="1:3">
      <c r="A115" s="3">
        <v>91</v>
      </c>
      <c r="B115" s="3">
        <v>660050.63299692445</v>
      </c>
      <c r="C115" s="3">
        <v>79801.947003075504</v>
      </c>
    </row>
    <row r="116" spans="1:3">
      <c r="A116" s="3">
        <v>92</v>
      </c>
      <c r="B116" s="3">
        <v>578454.97593379579</v>
      </c>
      <c r="C116" s="3">
        <v>7852.2440662041772</v>
      </c>
    </row>
    <row r="117" spans="1:3">
      <c r="A117" s="3">
        <v>93</v>
      </c>
      <c r="B117" s="3">
        <v>607282.8250404892</v>
      </c>
      <c r="C117" s="3">
        <v>-21345.345040489221</v>
      </c>
    </row>
    <row r="118" spans="1:3">
      <c r="A118" s="3">
        <v>94</v>
      </c>
      <c r="B118" s="3">
        <v>677497.19019144564</v>
      </c>
      <c r="C118" s="3">
        <v>75976.359808554407</v>
      </c>
    </row>
    <row r="119" spans="1:3">
      <c r="A119" s="3">
        <v>95</v>
      </c>
      <c r="B119" s="3">
        <v>730764.49058289791</v>
      </c>
      <c r="C119" s="3">
        <v>107485.82941710204</v>
      </c>
    </row>
    <row r="120" spans="1:3">
      <c r="A120" s="3">
        <v>96</v>
      </c>
      <c r="B120" s="3">
        <v>662512.41714093671</v>
      </c>
      <c r="C120" s="3">
        <v>-54614.297140936716</v>
      </c>
    </row>
    <row r="121" spans="1:3">
      <c r="A121" s="3">
        <v>97</v>
      </c>
      <c r="B121" s="3">
        <v>674535.91361241648</v>
      </c>
      <c r="C121" s="3">
        <v>16577.706387583516</v>
      </c>
    </row>
    <row r="122" spans="1:3">
      <c r="A122" s="3">
        <v>98</v>
      </c>
      <c r="B122" s="3">
        <v>630152.4429580518</v>
      </c>
      <c r="C122" s="3">
        <v>105356.95704194822</v>
      </c>
    </row>
    <row r="123" spans="1:3">
      <c r="A123" s="3">
        <v>99</v>
      </c>
      <c r="B123" s="3">
        <v>614525.46534823533</v>
      </c>
      <c r="C123" s="3">
        <v>-8750.1353482353734</v>
      </c>
    </row>
    <row r="124" spans="1:3">
      <c r="A124" s="3">
        <v>100</v>
      </c>
      <c r="B124" s="3">
        <v>634826.26502856775</v>
      </c>
      <c r="C124" s="3">
        <v>40351.414971432299</v>
      </c>
    </row>
    <row r="125" spans="1:3">
      <c r="A125" s="3">
        <v>101</v>
      </c>
      <c r="B125" s="3">
        <v>576349.97210051003</v>
      </c>
      <c r="C125" s="3">
        <v>58831.377899489948</v>
      </c>
    </row>
    <row r="126" spans="1:3">
      <c r="A126" s="3">
        <v>102</v>
      </c>
      <c r="B126" s="3">
        <v>602430.61281461013</v>
      </c>
      <c r="C126" s="3">
        <v>-15803.672814610181</v>
      </c>
    </row>
    <row r="127" spans="1:3">
      <c r="A127" s="3">
        <v>103</v>
      </c>
      <c r="B127" s="3">
        <v>690162.89122223307</v>
      </c>
      <c r="C127" s="3">
        <v>49939.748777766945</v>
      </c>
    </row>
    <row r="128" spans="1:3">
      <c r="A128" s="3">
        <v>104</v>
      </c>
      <c r="B128" s="3">
        <v>532537.34994330746</v>
      </c>
      <c r="C128" s="3">
        <v>92976.690056692576</v>
      </c>
    </row>
    <row r="129" spans="1:3">
      <c r="A129" s="3">
        <v>105</v>
      </c>
      <c r="B129" s="3">
        <v>709500.38406360417</v>
      </c>
      <c r="C129" s="3">
        <v>17726.815936395782</v>
      </c>
    </row>
    <row r="130" spans="1:3">
      <c r="A130" s="3">
        <v>106</v>
      </c>
      <c r="B130" s="3">
        <v>758200.89647775842</v>
      </c>
      <c r="C130" s="3">
        <v>25596.993522241595</v>
      </c>
    </row>
    <row r="131" spans="1:3">
      <c r="A131" s="3">
        <v>107</v>
      </c>
      <c r="B131" s="3">
        <v>695871.37619385554</v>
      </c>
      <c r="C131" s="3">
        <v>99282.463806144428</v>
      </c>
    </row>
    <row r="132" spans="1:3">
      <c r="A132" s="3">
        <v>108</v>
      </c>
      <c r="B132" s="3">
        <v>699974.34976720915</v>
      </c>
      <c r="C132" s="3">
        <v>-34379.409767209203</v>
      </c>
    </row>
    <row r="133" spans="1:3">
      <c r="A133" s="3">
        <v>109</v>
      </c>
      <c r="B133" s="3">
        <v>695264.8496656206</v>
      </c>
      <c r="C133" s="3">
        <v>14213.540334379417</v>
      </c>
    </row>
    <row r="134" spans="1:3">
      <c r="A134" s="3">
        <v>110</v>
      </c>
      <c r="B134" s="3">
        <v>642390.00761596742</v>
      </c>
      <c r="C134" s="3">
        <v>21772.48238403257</v>
      </c>
    </row>
    <row r="135" spans="1:3">
      <c r="A135" s="3">
        <v>111</v>
      </c>
      <c r="B135" s="3">
        <v>649275.86761298706</v>
      </c>
      <c r="C135" s="3">
        <v>-15781.657612987095</v>
      </c>
    </row>
    <row r="136" spans="1:3">
      <c r="A136" s="3">
        <v>112</v>
      </c>
      <c r="B136" s="3">
        <v>591370.42318209168</v>
      </c>
      <c r="C136" s="3">
        <v>122240.73681790836</v>
      </c>
    </row>
    <row r="137" spans="1:3">
      <c r="A137" s="3">
        <v>113</v>
      </c>
      <c r="B137" s="3">
        <v>766299.80953124771</v>
      </c>
      <c r="C137" s="3">
        <v>12098.160468752263</v>
      </c>
    </row>
    <row r="138" spans="1:3">
      <c r="A138" s="3">
        <v>114</v>
      </c>
      <c r="B138" s="3">
        <v>784959.41978223878</v>
      </c>
      <c r="C138" s="3">
        <v>88420.600217761239</v>
      </c>
    </row>
    <row r="139" spans="1:3">
      <c r="A139" s="3">
        <v>115</v>
      </c>
      <c r="B139" s="3">
        <v>775540.41957906168</v>
      </c>
      <c r="C139" s="3">
        <v>-78252.519579061656</v>
      </c>
    </row>
    <row r="140" spans="1:3">
      <c r="A140" s="3">
        <v>116</v>
      </c>
      <c r="B140" s="3">
        <v>776396.69232480507</v>
      </c>
      <c r="C140" s="3">
        <v>-58321.902324805036</v>
      </c>
    </row>
    <row r="141" spans="1:3">
      <c r="A141" s="3">
        <v>117</v>
      </c>
      <c r="B141" s="3">
        <v>725448.46395307453</v>
      </c>
      <c r="C141" s="3">
        <v>-10506.033953074482</v>
      </c>
    </row>
    <row r="142" spans="1:3">
      <c r="A142" s="3">
        <v>118</v>
      </c>
      <c r="B142" s="3">
        <v>747319.0970006031</v>
      </c>
      <c r="C142" s="3">
        <v>73199.942999396939</v>
      </c>
    </row>
    <row r="143" spans="1:3">
      <c r="A143" s="3">
        <v>119</v>
      </c>
      <c r="B143" s="3">
        <v>750101.98342426901</v>
      </c>
      <c r="C143" s="3">
        <v>-65884.663424269063</v>
      </c>
    </row>
    <row r="144" spans="1:3">
      <c r="A144" s="3">
        <v>120</v>
      </c>
      <c r="B144" s="3">
        <v>725270.07379771117</v>
      </c>
      <c r="C144" s="3">
        <v>10210.116202288773</v>
      </c>
    </row>
    <row r="145" spans="1:3">
      <c r="A145" s="3">
        <v>121</v>
      </c>
      <c r="B145" s="3">
        <v>583878.0366568371</v>
      </c>
      <c r="C145" s="3">
        <v>-74393.226656837098</v>
      </c>
    </row>
    <row r="146" spans="1:3">
      <c r="A146" s="3">
        <v>122</v>
      </c>
      <c r="B146" s="3">
        <v>578205.22971628723</v>
      </c>
      <c r="C146" s="3">
        <v>76111.86028371274</v>
      </c>
    </row>
    <row r="147" spans="1:3">
      <c r="A147" s="3">
        <v>123</v>
      </c>
      <c r="B147" s="3">
        <v>604214.51436824212</v>
      </c>
      <c r="C147" s="3">
        <v>-46727.254368242109</v>
      </c>
    </row>
    <row r="148" spans="1:3">
      <c r="A148" s="3">
        <v>124</v>
      </c>
      <c r="B148" s="3">
        <v>514412.91015840613</v>
      </c>
      <c r="C148" s="3">
        <v>-73137.490158406144</v>
      </c>
    </row>
    <row r="149" spans="1:3">
      <c r="A149" s="3">
        <v>125</v>
      </c>
      <c r="B149" s="3">
        <v>817319.39396512369</v>
      </c>
      <c r="C149" s="3">
        <v>97224.776034876355</v>
      </c>
    </row>
    <row r="150" spans="1:3">
      <c r="A150" s="3">
        <v>126</v>
      </c>
      <c r="B150" s="3">
        <v>841580.45509451907</v>
      </c>
      <c r="C150" s="3">
        <v>859.21490548097063</v>
      </c>
    </row>
    <row r="151" spans="1:3">
      <c r="A151" s="3">
        <v>127</v>
      </c>
      <c r="B151" s="3">
        <v>787992.05242341314</v>
      </c>
      <c r="C151" s="3">
        <v>54165.867576586897</v>
      </c>
    </row>
    <row r="152" spans="1:3">
      <c r="A152" s="3">
        <v>128</v>
      </c>
      <c r="B152" s="3">
        <v>739719.67638213071</v>
      </c>
      <c r="C152" s="3">
        <v>-42564.376382130664</v>
      </c>
    </row>
    <row r="153" spans="1:3">
      <c r="A153" s="3">
        <v>129</v>
      </c>
      <c r="B153" s="3">
        <v>825239.91686324985</v>
      </c>
      <c r="C153" s="3">
        <v>23778.383136750199</v>
      </c>
    </row>
    <row r="154" spans="1:3">
      <c r="A154" s="3">
        <v>130</v>
      </c>
      <c r="B154" s="3">
        <v>824455.00017965166</v>
      </c>
      <c r="C154" s="3">
        <v>-22624.650179651682</v>
      </c>
    </row>
    <row r="155" spans="1:3">
      <c r="A155" s="3">
        <v>131</v>
      </c>
      <c r="B155" s="3">
        <v>789597.56382168201</v>
      </c>
      <c r="C155" s="3">
        <v>-64362.28382168198</v>
      </c>
    </row>
    <row r="156" spans="1:3">
      <c r="A156" s="3">
        <v>132</v>
      </c>
      <c r="B156" s="3">
        <v>833017.72763708537</v>
      </c>
      <c r="C156" s="3">
        <v>-21565.007637085393</v>
      </c>
    </row>
    <row r="157" spans="1:3">
      <c r="A157" s="3">
        <v>133</v>
      </c>
      <c r="B157" s="3">
        <v>554978.83148799837</v>
      </c>
      <c r="C157" s="3">
        <v>-27678.701487998362</v>
      </c>
    </row>
    <row r="158" spans="1:3">
      <c r="A158" s="3">
        <v>134</v>
      </c>
      <c r="B158" s="3">
        <v>511130.53129972325</v>
      </c>
      <c r="C158" s="3">
        <v>-110298.88129972323</v>
      </c>
    </row>
    <row r="159" spans="1:3">
      <c r="A159" s="3">
        <v>135</v>
      </c>
      <c r="B159" s="3">
        <v>575493.69935476664</v>
      </c>
      <c r="C159" s="3">
        <v>17753.550645233365</v>
      </c>
    </row>
    <row r="160" spans="1:3">
      <c r="A160" s="3">
        <v>136</v>
      </c>
      <c r="B160" s="3">
        <v>516446.55792954669</v>
      </c>
      <c r="C160" s="3">
        <v>12629.392070453265</v>
      </c>
    </row>
    <row r="161" spans="1:3">
      <c r="A161" s="3">
        <v>137</v>
      </c>
      <c r="B161" s="3">
        <v>727838.89203494135</v>
      </c>
      <c r="C161" s="3">
        <v>-94200.862034941325</v>
      </c>
    </row>
    <row r="162" spans="1:3">
      <c r="A162" s="3">
        <v>138</v>
      </c>
      <c r="B162" s="3">
        <v>669184.2089515205</v>
      </c>
      <c r="C162" s="3">
        <v>74164.631048479467</v>
      </c>
    </row>
    <row r="163" spans="1:3">
      <c r="A163" s="3">
        <v>139</v>
      </c>
      <c r="B163" s="3">
        <v>679887.61827331258</v>
      </c>
      <c r="C163" s="3">
        <v>78940.021726687439</v>
      </c>
    </row>
    <row r="164" spans="1:3">
      <c r="A164" s="3">
        <v>140</v>
      </c>
      <c r="B164" s="3">
        <v>641391.0227459335</v>
      </c>
      <c r="C164" s="3">
        <v>5168.6872540664626</v>
      </c>
    </row>
    <row r="165" spans="1:3">
      <c r="A165" s="3">
        <v>141</v>
      </c>
      <c r="B165" s="3">
        <v>675713.28863781365</v>
      </c>
      <c r="C165" s="3">
        <v>40177.241362186382</v>
      </c>
    </row>
    <row r="166" spans="1:3">
      <c r="A166" s="3">
        <v>142</v>
      </c>
      <c r="B166" s="3">
        <v>685596.10324493505</v>
      </c>
      <c r="C166" s="3">
        <v>29501.466755064903</v>
      </c>
    </row>
    <row r="167" spans="1:3">
      <c r="A167" s="3">
        <v>143</v>
      </c>
      <c r="B167" s="3">
        <v>647813.06833900884</v>
      </c>
      <c r="C167" s="3">
        <v>34826.21166099119</v>
      </c>
    </row>
    <row r="168" spans="1:3">
      <c r="A168" s="3">
        <v>144</v>
      </c>
      <c r="B168" s="3">
        <v>663654.11413526116</v>
      </c>
      <c r="C168" s="3">
        <v>31444.39586473885</v>
      </c>
    </row>
    <row r="169" spans="1:3">
      <c r="A169" s="3">
        <v>145</v>
      </c>
      <c r="B169" s="3">
        <v>600254.25291917915</v>
      </c>
      <c r="C169" s="3">
        <v>-22521.682919179206</v>
      </c>
    </row>
    <row r="170" spans="1:3">
      <c r="A170" s="3">
        <v>146</v>
      </c>
      <c r="B170" s="3">
        <v>558867.73687491613</v>
      </c>
      <c r="C170" s="3">
        <v>-21809.406874916167</v>
      </c>
    </row>
    <row r="171" spans="1:3">
      <c r="A171" s="3">
        <v>147</v>
      </c>
      <c r="B171" s="3">
        <v>598363.31727232912</v>
      </c>
      <c r="C171" s="3">
        <v>3205.5527276708744</v>
      </c>
    </row>
    <row r="172" spans="1:3">
      <c r="A172" s="3">
        <v>148</v>
      </c>
      <c r="B172" s="3">
        <v>565931.98702729901</v>
      </c>
      <c r="C172" s="3">
        <v>5032.8529727009591</v>
      </c>
    </row>
    <row r="173" spans="1:3">
      <c r="A173" s="3">
        <v>149</v>
      </c>
      <c r="B173" s="3">
        <v>636538.81052005442</v>
      </c>
      <c r="C173" s="3">
        <v>-22513.900520054391</v>
      </c>
    </row>
    <row r="174" spans="1:3">
      <c r="A174" s="3">
        <v>150</v>
      </c>
      <c r="B174" s="3">
        <v>680137.36449082103</v>
      </c>
      <c r="C174" s="3">
        <v>32730.98550917895</v>
      </c>
    </row>
    <row r="175" spans="1:3">
      <c r="A175" s="3">
        <v>151</v>
      </c>
      <c r="B175" s="3">
        <v>644423.65538710798</v>
      </c>
      <c r="C175" s="3">
        <v>52320.494612892042</v>
      </c>
    </row>
    <row r="176" spans="1:3">
      <c r="A176" s="3">
        <v>152</v>
      </c>
      <c r="B176" s="3">
        <v>657303.42460433114</v>
      </c>
      <c r="C176" s="3">
        <v>68544.565395668847</v>
      </c>
    </row>
    <row r="177" spans="1:3">
      <c r="A177" s="3">
        <v>153</v>
      </c>
      <c r="B177" s="3">
        <v>791559.85553067725</v>
      </c>
      <c r="C177" s="3">
        <v>-6531.6055306772469</v>
      </c>
    </row>
    <row r="178" spans="1:3">
      <c r="A178" s="3">
        <v>154</v>
      </c>
      <c r="B178" s="3">
        <v>686880.51236355014</v>
      </c>
      <c r="C178" s="3">
        <v>11612.157636449905</v>
      </c>
    </row>
    <row r="179" spans="1:3">
      <c r="A179" s="3">
        <v>155</v>
      </c>
      <c r="B179" s="3">
        <v>722736.93359155371</v>
      </c>
      <c r="C179" s="3">
        <v>-36906.693591553718</v>
      </c>
    </row>
    <row r="180" spans="1:3">
      <c r="A180" s="3">
        <v>156</v>
      </c>
      <c r="B180" s="3">
        <v>720881.67597577651</v>
      </c>
      <c r="C180" s="3">
        <v>-18562.735975776566</v>
      </c>
    </row>
    <row r="181" spans="1:3">
      <c r="A181" s="3">
        <v>157</v>
      </c>
      <c r="B181" s="3">
        <v>675606.25454459572</v>
      </c>
      <c r="C181" s="3">
        <v>24472.065455404227</v>
      </c>
    </row>
    <row r="182" spans="1:3">
      <c r="A182" s="3">
        <v>158</v>
      </c>
      <c r="B182" s="3">
        <v>639071.95072621189</v>
      </c>
      <c r="C182" s="3">
        <v>-37069.630726211937</v>
      </c>
    </row>
    <row r="183" spans="1:3">
      <c r="A183" s="3">
        <v>159</v>
      </c>
      <c r="B183" s="3">
        <v>696691.97090852621</v>
      </c>
      <c r="C183" s="3">
        <v>27524.099091473734</v>
      </c>
    </row>
    <row r="184" spans="1:3">
      <c r="A184" s="3">
        <v>160</v>
      </c>
      <c r="B184" s="3">
        <v>583663.96847040125</v>
      </c>
      <c r="C184" s="3">
        <v>37309.061529598781</v>
      </c>
    </row>
    <row r="185" spans="1:3">
      <c r="A185" s="3">
        <v>161</v>
      </c>
      <c r="B185" s="3">
        <v>712390.30458048801</v>
      </c>
      <c r="C185" s="3">
        <v>-61910.244580487953</v>
      </c>
    </row>
    <row r="186" spans="1:3">
      <c r="A186" s="3">
        <v>162</v>
      </c>
      <c r="B186" s="3">
        <v>695871.37619385554</v>
      </c>
      <c r="C186" s="3">
        <v>82427.503806144465</v>
      </c>
    </row>
    <row r="187" spans="1:3">
      <c r="A187" s="3">
        <v>163</v>
      </c>
      <c r="B187" s="3">
        <v>733190.59669583745</v>
      </c>
      <c r="C187" s="3">
        <v>-56093.886695837486</v>
      </c>
    </row>
    <row r="188" spans="1:3">
      <c r="A188" s="3">
        <v>164</v>
      </c>
      <c r="B188" s="3">
        <v>662441.06107879139</v>
      </c>
      <c r="C188" s="3">
        <v>29567.578921208624</v>
      </c>
    </row>
    <row r="189" spans="1:3">
      <c r="A189" s="3">
        <v>165</v>
      </c>
      <c r="B189" s="3">
        <v>779036.86662418046</v>
      </c>
      <c r="C189" s="3">
        <v>46761.043375819572</v>
      </c>
    </row>
    <row r="190" spans="1:3">
      <c r="A190" s="3">
        <v>166</v>
      </c>
      <c r="B190" s="3">
        <v>759984.79803139041</v>
      </c>
      <c r="C190" s="3">
        <v>-53699.278031390393</v>
      </c>
    </row>
    <row r="191" spans="1:3">
      <c r="A191" s="3">
        <v>167</v>
      </c>
      <c r="B191" s="3">
        <v>693980.44054700551</v>
      </c>
      <c r="C191" s="3">
        <v>-28445.740547005553</v>
      </c>
    </row>
    <row r="192" spans="1:3">
      <c r="A192" s="3">
        <v>168</v>
      </c>
      <c r="B192" s="3">
        <v>783211.19625967939</v>
      </c>
      <c r="C192" s="3">
        <v>37518.093740320648</v>
      </c>
    </row>
    <row r="193" spans="1:3">
      <c r="A193" s="3">
        <v>169</v>
      </c>
      <c r="B193" s="3">
        <v>780856.44620888517</v>
      </c>
      <c r="C193" s="3">
        <v>-41024.716208885191</v>
      </c>
    </row>
    <row r="194" spans="1:3">
      <c r="A194" s="3">
        <v>170</v>
      </c>
      <c r="B194" s="3">
        <v>716707.34634027747</v>
      </c>
      <c r="C194" s="3">
        <v>-123070.20634027745</v>
      </c>
    </row>
    <row r="195" spans="1:3">
      <c r="A195" s="3">
        <v>171</v>
      </c>
      <c r="B195" s="3">
        <v>765693.28300301288</v>
      </c>
      <c r="C195" s="3">
        <v>4009.4769969871268</v>
      </c>
    </row>
    <row r="196" spans="1:3">
      <c r="A196" s="3">
        <v>172</v>
      </c>
      <c r="B196" s="3">
        <v>720096.75929217832</v>
      </c>
      <c r="C196" s="3">
        <v>-40365.189292178373</v>
      </c>
    </row>
    <row r="197" spans="1:3">
      <c r="A197" s="3">
        <v>173</v>
      </c>
      <c r="B197" s="3">
        <v>758272.25253990362</v>
      </c>
      <c r="C197" s="3">
        <v>22071.927460096427</v>
      </c>
    </row>
    <row r="198" spans="1:3">
      <c r="A198" s="3">
        <v>174</v>
      </c>
      <c r="B198" s="3">
        <v>784638.31750258501</v>
      </c>
      <c r="C198" s="3">
        <v>-63274.207502585021</v>
      </c>
    </row>
    <row r="199" spans="1:3">
      <c r="A199" s="3">
        <v>175</v>
      </c>
      <c r="B199" s="3">
        <v>796982.91625371855</v>
      </c>
      <c r="C199" s="3">
        <v>-38844.62625371851</v>
      </c>
    </row>
    <row r="200" spans="1:3">
      <c r="A200" s="3">
        <v>176</v>
      </c>
      <c r="B200" s="3">
        <v>817533.46215155954</v>
      </c>
      <c r="C200" s="3">
        <v>-13269.462151559535</v>
      </c>
    </row>
    <row r="201" spans="1:3">
      <c r="A201" s="3">
        <v>177</v>
      </c>
      <c r="B201" s="3">
        <v>887426.7250228622</v>
      </c>
      <c r="C201" s="3">
        <v>111.02497713780031</v>
      </c>
    </row>
    <row r="202" spans="1:3">
      <c r="A202" s="3">
        <v>178</v>
      </c>
      <c r="B202" s="3">
        <v>729158.97918462905</v>
      </c>
      <c r="C202" s="3">
        <v>54423.020815370954</v>
      </c>
    </row>
    <row r="203" spans="1:3">
      <c r="A203" s="3">
        <v>179</v>
      </c>
      <c r="B203" s="3">
        <v>762874.71854827437</v>
      </c>
      <c r="C203" s="3">
        <v>19080.801451725652</v>
      </c>
    </row>
    <row r="204" spans="1:3">
      <c r="A204" s="3">
        <v>180</v>
      </c>
      <c r="B204" s="3">
        <v>803155.21562928543</v>
      </c>
      <c r="C204" s="3">
        <v>94875.824370714603</v>
      </c>
    </row>
    <row r="205" spans="1:3">
      <c r="A205" s="3">
        <v>181</v>
      </c>
      <c r="B205" s="3">
        <v>844363.3415181851</v>
      </c>
      <c r="C205" s="3">
        <v>10977.938481814926</v>
      </c>
    </row>
    <row r="206" spans="1:3">
      <c r="A206" s="3">
        <v>182</v>
      </c>
      <c r="B206" s="3">
        <v>777752.45750556537</v>
      </c>
      <c r="C206" s="3">
        <v>-26358.577505565365</v>
      </c>
    </row>
    <row r="207" spans="1:3">
      <c r="A207" s="3">
        <v>183</v>
      </c>
      <c r="B207" s="3">
        <v>796483.42381870165</v>
      </c>
      <c r="C207" s="3">
        <v>-35406.343818701687</v>
      </c>
    </row>
    <row r="208" spans="1:3">
      <c r="A208" s="3">
        <v>184</v>
      </c>
      <c r="B208" s="3">
        <v>829628.31468518462</v>
      </c>
      <c r="C208" s="3">
        <v>-9967.7246851846576</v>
      </c>
    </row>
    <row r="209" spans="1:3">
      <c r="A209" s="3">
        <v>185</v>
      </c>
      <c r="B209" s="3">
        <v>663475.72397989803</v>
      </c>
      <c r="C209" s="3">
        <v>18379.836020102026</v>
      </c>
    </row>
    <row r="210" spans="1:3">
      <c r="A210" s="3">
        <v>186</v>
      </c>
      <c r="B210" s="3">
        <v>633791.60212746111</v>
      </c>
      <c r="C210" s="3">
        <v>44519.56787253893</v>
      </c>
    </row>
    <row r="211" spans="1:3">
      <c r="A211" s="3">
        <v>187</v>
      </c>
      <c r="B211" s="3">
        <v>678888.63340327865</v>
      </c>
      <c r="C211" s="3">
        <v>87018.316596721299</v>
      </c>
    </row>
    <row r="212" spans="1:3">
      <c r="A212" s="3">
        <v>188</v>
      </c>
      <c r="B212" s="3">
        <v>729408.7254021375</v>
      </c>
      <c r="C212" s="3">
        <v>-16862.345402137493</v>
      </c>
    </row>
    <row r="213" spans="1:3">
      <c r="A213" s="3">
        <v>189</v>
      </c>
      <c r="B213" s="3">
        <v>571497.75987463084</v>
      </c>
      <c r="C213" s="3">
        <v>54496.070125369122</v>
      </c>
    </row>
    <row r="214" spans="1:3">
      <c r="A214" s="3">
        <v>190</v>
      </c>
      <c r="B214" s="3">
        <v>528898.19077389815</v>
      </c>
      <c r="C214" s="3">
        <v>22064.739226101898</v>
      </c>
    </row>
    <row r="215" spans="1:3">
      <c r="A215" s="3">
        <v>191</v>
      </c>
      <c r="B215" s="3">
        <v>491650.32633406157</v>
      </c>
      <c r="C215" s="3">
        <v>-48374.736334061541</v>
      </c>
    </row>
    <row r="216" spans="1:3">
      <c r="A216" s="3">
        <v>192</v>
      </c>
      <c r="B216" s="3">
        <v>604214.51436824212</v>
      </c>
      <c r="C216" s="3">
        <v>-50202.44436824217</v>
      </c>
    </row>
    <row r="217" spans="1:3">
      <c r="A217" s="3">
        <v>193</v>
      </c>
      <c r="B217" s="3">
        <v>666793.78086965356</v>
      </c>
      <c r="C217" s="3">
        <v>-23364.930869653588</v>
      </c>
    </row>
    <row r="218" spans="1:3">
      <c r="A218" s="3">
        <v>194</v>
      </c>
      <c r="B218" s="3">
        <v>630152.4429580518</v>
      </c>
      <c r="C218" s="3">
        <v>-18228.172958051786</v>
      </c>
    </row>
    <row r="219" spans="1:3">
      <c r="A219" s="3">
        <v>195</v>
      </c>
      <c r="B219" s="3">
        <v>581380.57448175224</v>
      </c>
      <c r="C219" s="3">
        <v>-21958.554481752217</v>
      </c>
    </row>
    <row r="220" spans="1:3">
      <c r="A220" s="3">
        <v>196</v>
      </c>
      <c r="B220" s="3">
        <v>558261.2103466813</v>
      </c>
      <c r="C220" s="3">
        <v>-108796.1503466813</v>
      </c>
    </row>
    <row r="221" spans="1:3">
      <c r="A221" s="3">
        <v>197</v>
      </c>
      <c r="B221" s="3">
        <v>623730.39736497658</v>
      </c>
      <c r="C221" s="3">
        <v>67717.032635023468</v>
      </c>
    </row>
    <row r="222" spans="1:3">
      <c r="A222" s="3">
        <v>198</v>
      </c>
      <c r="B222" s="3">
        <v>602180.86659710167</v>
      </c>
      <c r="C222" s="3">
        <v>-28114.256597101688</v>
      </c>
    </row>
    <row r="223" spans="1:3">
      <c r="A223" s="3">
        <v>199</v>
      </c>
      <c r="B223" s="3">
        <v>625228.87467002741</v>
      </c>
      <c r="C223" s="3">
        <v>-46279.034670027439</v>
      </c>
    </row>
    <row r="224" spans="1:3">
      <c r="A224" s="3">
        <v>200</v>
      </c>
      <c r="B224" s="3">
        <v>645315.60616392398</v>
      </c>
      <c r="C224" s="3">
        <v>90471.033836076036</v>
      </c>
    </row>
    <row r="225" spans="1:3">
      <c r="A225" s="3">
        <v>201</v>
      </c>
      <c r="B225" s="3">
        <v>658873.2579715274</v>
      </c>
      <c r="C225" s="3">
        <v>-59968.357971527381</v>
      </c>
    </row>
    <row r="226" spans="1:3">
      <c r="A226" s="3">
        <v>202</v>
      </c>
      <c r="B226" s="3">
        <v>674357.52345705335</v>
      </c>
      <c r="C226" s="3">
        <v>113357.98654294666</v>
      </c>
    </row>
    <row r="227" spans="1:3">
      <c r="A227" s="3">
        <v>203</v>
      </c>
      <c r="B227" s="3">
        <v>692446.28521088208</v>
      </c>
      <c r="C227" s="3">
        <v>-85361.365210882039</v>
      </c>
    </row>
    <row r="228" spans="1:3">
      <c r="A228" s="3">
        <v>204</v>
      </c>
      <c r="B228" s="3">
        <v>661013.93983588577</v>
      </c>
      <c r="C228" s="3">
        <v>-10218.449835885782</v>
      </c>
    </row>
    <row r="229" spans="1:3">
      <c r="A229" s="3">
        <v>205</v>
      </c>
      <c r="B229" s="3">
        <v>784495.60537829436</v>
      </c>
      <c r="C229" s="3">
        <v>40564.914621705655</v>
      </c>
    </row>
    <row r="230" spans="1:3">
      <c r="A230" s="3">
        <v>206</v>
      </c>
      <c r="B230" s="3">
        <v>727375.07763099705</v>
      </c>
      <c r="C230" s="3">
        <v>68089.392369002919</v>
      </c>
    </row>
    <row r="231" spans="1:3">
      <c r="A231" s="3">
        <v>207</v>
      </c>
      <c r="B231" s="3">
        <v>777609.74538127473</v>
      </c>
      <c r="C231" s="3">
        <v>-105741.15538127476</v>
      </c>
    </row>
    <row r="232" spans="1:3">
      <c r="A232" s="3">
        <v>208</v>
      </c>
      <c r="B232" s="3">
        <v>742645.27493008715</v>
      </c>
      <c r="C232" s="3">
        <v>-66727.644930087146</v>
      </c>
    </row>
    <row r="233" spans="1:3">
      <c r="A233" s="3">
        <v>209</v>
      </c>
      <c r="B233" s="3">
        <v>807650.64754443802</v>
      </c>
      <c r="C233" s="3">
        <v>2795.8824555620085</v>
      </c>
    </row>
    <row r="234" spans="1:3">
      <c r="A234" s="3">
        <v>210</v>
      </c>
      <c r="B234" s="3">
        <v>783853.40081898682</v>
      </c>
      <c r="C234" s="3">
        <v>-92565.210818986874</v>
      </c>
    </row>
    <row r="235" spans="1:3">
      <c r="A235" s="3">
        <v>211</v>
      </c>
      <c r="B235" s="3">
        <v>905586.84283883614</v>
      </c>
      <c r="C235" s="3">
        <v>41246.697161163902</v>
      </c>
    </row>
    <row r="236" spans="1:3">
      <c r="A236" s="3">
        <v>212</v>
      </c>
      <c r="B236" s="3">
        <v>794342.74195434316</v>
      </c>
      <c r="C236" s="3">
        <v>-32379.511954343179</v>
      </c>
    </row>
    <row r="237" spans="1:3">
      <c r="A237" s="3">
        <v>213</v>
      </c>
      <c r="B237" s="3">
        <v>785530.268279401</v>
      </c>
      <c r="C237" s="3">
        <v>26622.331720598973</v>
      </c>
    </row>
    <row r="238" spans="1:3">
      <c r="A238" s="3">
        <v>214</v>
      </c>
      <c r="B238" s="3">
        <v>782212.21138964547</v>
      </c>
      <c r="C238" s="3">
        <v>22763.288610354532</v>
      </c>
    </row>
    <row r="239" spans="1:3">
      <c r="A239" s="3">
        <v>215</v>
      </c>
      <c r="B239" s="3">
        <v>790489.514598498</v>
      </c>
      <c r="C239" s="3">
        <v>-38167.794598498032</v>
      </c>
    </row>
    <row r="240" spans="1:3">
      <c r="A240" s="3">
        <v>216</v>
      </c>
      <c r="B240" s="3">
        <v>846860.80369326996</v>
      </c>
      <c r="C240" s="3">
        <v>-9952.5636932699708</v>
      </c>
    </row>
    <row r="241" spans="1:3">
      <c r="A241" s="3">
        <v>217</v>
      </c>
      <c r="B241" s="3">
        <v>638857.88253977604</v>
      </c>
      <c r="C241" s="3">
        <v>35431.217460223939</v>
      </c>
    </row>
    <row r="242" spans="1:3">
      <c r="A242" s="3">
        <v>218</v>
      </c>
      <c r="B242" s="3">
        <v>625300.23073217273</v>
      </c>
      <c r="C242" s="3">
        <v>-2407.8107321726857</v>
      </c>
    </row>
    <row r="243" spans="1:3">
      <c r="A243" s="3">
        <v>219</v>
      </c>
      <c r="B243" s="3">
        <v>605784.34773543838</v>
      </c>
      <c r="C243" s="3">
        <v>67564.212264561676</v>
      </c>
    </row>
    <row r="244" spans="1:3">
      <c r="A244" s="3">
        <v>220</v>
      </c>
      <c r="B244" s="3">
        <v>613312.41229176545</v>
      </c>
      <c r="C244" s="3">
        <v>-7034.1122917653993</v>
      </c>
    </row>
    <row r="245" spans="1:3">
      <c r="A245" s="3">
        <v>221</v>
      </c>
      <c r="B245" s="3">
        <v>706539.10748457501</v>
      </c>
      <c r="C245" s="3">
        <v>5680.7025154250441</v>
      </c>
    </row>
    <row r="246" spans="1:3">
      <c r="A246" s="3">
        <v>222</v>
      </c>
      <c r="B246" s="3">
        <v>710570.72499578341</v>
      </c>
      <c r="C246" s="3">
        <v>-37900.184995783377</v>
      </c>
    </row>
    <row r="247" spans="1:3">
      <c r="A247" s="3">
        <v>223</v>
      </c>
      <c r="B247" s="3">
        <v>727553.4677863603</v>
      </c>
      <c r="C247" s="3">
        <v>5114.4522136397427</v>
      </c>
    </row>
    <row r="248" spans="1:3">
      <c r="A248" s="3">
        <v>224</v>
      </c>
      <c r="B248" s="3">
        <v>759413.94953422819</v>
      </c>
      <c r="C248" s="3">
        <v>-35882.549534228165</v>
      </c>
    </row>
    <row r="249" spans="1:3">
      <c r="A249" s="3">
        <v>225</v>
      </c>
      <c r="B249" s="3">
        <v>614561.14337930793</v>
      </c>
      <c r="C249" s="3">
        <v>27003.456620692043</v>
      </c>
    </row>
    <row r="250" spans="1:3">
      <c r="A250" s="3">
        <v>226</v>
      </c>
      <c r="B250" s="3">
        <v>547807.54724239768</v>
      </c>
      <c r="C250" s="3">
        <v>-11262.057242397685</v>
      </c>
    </row>
    <row r="251" spans="1:3">
      <c r="A251" s="3">
        <v>227</v>
      </c>
      <c r="B251" s="3">
        <v>584555.91924721724</v>
      </c>
      <c r="C251" s="3">
        <v>-56874.359247217188</v>
      </c>
    </row>
    <row r="252" spans="1:3">
      <c r="A252" s="3">
        <v>228</v>
      </c>
      <c r="B252" s="3">
        <v>495467.87565883406</v>
      </c>
      <c r="C252" s="3">
        <v>34131.064341165882</v>
      </c>
    </row>
    <row r="253" spans="1:3">
      <c r="A253" s="3">
        <v>229</v>
      </c>
      <c r="B253" s="3">
        <v>658944.61403367261</v>
      </c>
      <c r="C253" s="3">
        <v>-87981.304033672553</v>
      </c>
    </row>
    <row r="254" spans="1:3">
      <c r="A254" s="3">
        <v>230</v>
      </c>
      <c r="B254" s="3">
        <v>766121.41937588458</v>
      </c>
      <c r="C254" s="3">
        <v>104815.98062411544</v>
      </c>
    </row>
    <row r="255" spans="1:3">
      <c r="A255" s="3">
        <v>231</v>
      </c>
      <c r="B255" s="3">
        <v>679923.29630438518</v>
      </c>
      <c r="C255" s="3">
        <v>-82954.026304385159</v>
      </c>
    </row>
    <row r="256" spans="1:3">
      <c r="A256" s="3">
        <v>232</v>
      </c>
      <c r="B256" s="3">
        <v>641105.59849735245</v>
      </c>
      <c r="C256" s="3">
        <v>6407.2515026475303</v>
      </c>
    </row>
    <row r="257" spans="1:3">
      <c r="A257" s="3">
        <v>233</v>
      </c>
      <c r="B257" s="3">
        <v>598541.70742769237</v>
      </c>
      <c r="C257" s="3">
        <v>59530.432572307647</v>
      </c>
    </row>
    <row r="258" spans="1:3">
      <c r="A258" s="3">
        <v>234</v>
      </c>
      <c r="B258" s="3">
        <v>636253.38627147325</v>
      </c>
      <c r="C258" s="3">
        <v>87051.723728526733</v>
      </c>
    </row>
    <row r="259" spans="1:3">
      <c r="A259" s="3">
        <v>235</v>
      </c>
      <c r="B259" s="3">
        <v>641890.51518095052</v>
      </c>
      <c r="C259" s="3">
        <v>-1223.9851809504908</v>
      </c>
    </row>
    <row r="260" spans="1:3">
      <c r="A260" s="3">
        <v>236</v>
      </c>
      <c r="B260" s="3">
        <v>666508.35662107239</v>
      </c>
      <c r="C260" s="3">
        <v>4121.1233789275866</v>
      </c>
    </row>
    <row r="261" spans="1:3">
      <c r="A261" s="3">
        <v>237</v>
      </c>
      <c r="B261" s="3">
        <v>799908.5148016751</v>
      </c>
      <c r="C261" s="3">
        <v>-78829.164801675128</v>
      </c>
    </row>
    <row r="262" spans="1:3">
      <c r="A262" s="3">
        <v>238</v>
      </c>
      <c r="B262" s="3">
        <v>803048.18153606751</v>
      </c>
      <c r="C262" s="3">
        <v>7306.8384639325086</v>
      </c>
    </row>
    <row r="263" spans="1:3">
      <c r="A263" s="3">
        <v>239</v>
      </c>
      <c r="B263" s="3">
        <v>792558.84040071117</v>
      </c>
      <c r="C263" s="3">
        <v>-30639.590400711168</v>
      </c>
    </row>
    <row r="264" spans="1:3">
      <c r="A264" s="3">
        <v>240</v>
      </c>
      <c r="B264" s="3">
        <v>778715.76434452669</v>
      </c>
      <c r="C264" s="3">
        <v>-41645.584344526636</v>
      </c>
    </row>
    <row r="265" spans="1:3">
      <c r="A265" s="3">
        <v>241</v>
      </c>
      <c r="B265" s="3">
        <v>733797.12322407239</v>
      </c>
      <c r="C265" s="3">
        <v>43195.80677592766</v>
      </c>
    </row>
    <row r="266" spans="1:3">
      <c r="A266" s="3">
        <v>242</v>
      </c>
      <c r="B266" s="3">
        <v>647920.10243222676</v>
      </c>
      <c r="C266" s="3">
        <v>28417.30756777327</v>
      </c>
    </row>
    <row r="267" spans="1:3">
      <c r="A267" s="3">
        <v>243</v>
      </c>
      <c r="B267" s="3">
        <v>805902.42402187875</v>
      </c>
      <c r="C267" s="3">
        <v>22317.245978121297</v>
      </c>
    </row>
    <row r="268" spans="1:3">
      <c r="A268" s="3">
        <v>244</v>
      </c>
      <c r="B268" s="3">
        <v>731977.54363936768</v>
      </c>
      <c r="C268" s="3">
        <v>31182.376360632363</v>
      </c>
    </row>
    <row r="269" spans="1:3">
      <c r="A269" s="3">
        <v>245</v>
      </c>
      <c r="B269" s="3">
        <v>765158.11253692326</v>
      </c>
      <c r="C269" s="3">
        <v>36843.56746307679</v>
      </c>
    </row>
    <row r="270" spans="1:3">
      <c r="A270" s="3">
        <v>246</v>
      </c>
      <c r="B270" s="3">
        <v>757986.82829132257</v>
      </c>
      <c r="C270" s="3">
        <v>-7515.4882913226029</v>
      </c>
    </row>
    <row r="271" spans="1:3">
      <c r="A271" s="3">
        <v>247</v>
      </c>
      <c r="B271" s="3">
        <v>709500.38406360417</v>
      </c>
      <c r="C271" s="3">
        <v>-30269.524063604185</v>
      </c>
    </row>
    <row r="272" spans="1:3">
      <c r="A272" s="3">
        <v>248</v>
      </c>
      <c r="B272" s="3">
        <v>736080.51721272129</v>
      </c>
      <c r="C272" s="3">
        <v>-56191.777212721296</v>
      </c>
    </row>
    <row r="273" spans="1:3">
      <c r="A273" s="3">
        <v>249</v>
      </c>
      <c r="B273" s="3">
        <v>584662.95334043517</v>
      </c>
      <c r="C273" s="3">
        <v>22120.716659564874</v>
      </c>
    </row>
    <row r="274" spans="1:3">
      <c r="A274" s="3">
        <v>250</v>
      </c>
      <c r="B274" s="3">
        <v>652094.43206772569</v>
      </c>
      <c r="C274" s="3">
        <v>-9343.0120677256491</v>
      </c>
    </row>
    <row r="275" spans="1:3">
      <c r="A275" s="3">
        <v>251</v>
      </c>
      <c r="B275" s="3">
        <v>671967.09537518641</v>
      </c>
      <c r="C275" s="3">
        <v>-24013.315375186387</v>
      </c>
    </row>
    <row r="276" spans="1:3">
      <c r="A276" s="3">
        <v>252</v>
      </c>
      <c r="B276" s="3">
        <v>690448.31547081424</v>
      </c>
      <c r="C276" s="3">
        <v>38992.134529185714</v>
      </c>
    </row>
    <row r="277" spans="1:3">
      <c r="A277" s="3">
        <v>253</v>
      </c>
      <c r="B277" s="3">
        <v>688378.98966860096</v>
      </c>
      <c r="C277" s="3">
        <v>76570.01033139904</v>
      </c>
    </row>
    <row r="278" spans="1:3">
      <c r="A278" s="3">
        <v>254</v>
      </c>
      <c r="B278" s="3">
        <v>691019.16396797635</v>
      </c>
      <c r="C278" s="3">
        <v>108027.7760320236</v>
      </c>
    </row>
    <row r="279" spans="1:3">
      <c r="A279" s="3">
        <v>255</v>
      </c>
      <c r="B279" s="3">
        <v>647670.35621471819</v>
      </c>
      <c r="C279" s="3">
        <v>72409.183785281843</v>
      </c>
    </row>
    <row r="280" spans="1:3">
      <c r="A280" s="3">
        <v>256</v>
      </c>
      <c r="B280" s="3">
        <v>652879.34875132376</v>
      </c>
      <c r="C280" s="3">
        <v>-40489.208751323749</v>
      </c>
    </row>
    <row r="281" spans="1:3">
      <c r="A281" s="3">
        <v>257</v>
      </c>
      <c r="B281" s="3">
        <v>737721.70664206275</v>
      </c>
      <c r="C281" s="3">
        <v>102386.41335793724</v>
      </c>
    </row>
    <row r="282" spans="1:3">
      <c r="A282" s="3">
        <v>258</v>
      </c>
      <c r="B282" s="3">
        <v>716635.99027813226</v>
      </c>
      <c r="C282" s="3">
        <v>-18747.900278132292</v>
      </c>
    </row>
    <row r="283" spans="1:3">
      <c r="A283" s="3">
        <v>259</v>
      </c>
      <c r="B283" s="3">
        <v>754454.70321513107</v>
      </c>
      <c r="C283" s="3">
        <v>-8339.1132151311031</v>
      </c>
    </row>
    <row r="284" spans="1:3">
      <c r="A284" s="3">
        <v>260</v>
      </c>
      <c r="B284" s="3">
        <v>725983.63441916415</v>
      </c>
      <c r="C284" s="3">
        <v>50126.685580835794</v>
      </c>
    </row>
    <row r="285" spans="1:3">
      <c r="A285" s="3">
        <v>261</v>
      </c>
      <c r="B285" s="3">
        <v>555121.54361228889</v>
      </c>
      <c r="C285" s="3">
        <v>-26268.923612288898</v>
      </c>
    </row>
    <row r="286" spans="1:3">
      <c r="A286" s="3">
        <v>262</v>
      </c>
      <c r="B286" s="3">
        <v>617058.60555439279</v>
      </c>
      <c r="C286" s="3">
        <v>-11307.275554392836</v>
      </c>
    </row>
    <row r="287" spans="1:3">
      <c r="A287" s="3">
        <v>263</v>
      </c>
      <c r="B287" s="3">
        <v>621304.29125203693</v>
      </c>
      <c r="C287" s="3">
        <v>56336.358747963095</v>
      </c>
    </row>
    <row r="288" spans="1:3">
      <c r="A288" s="3">
        <v>264</v>
      </c>
      <c r="B288" s="3">
        <v>589907.62390811334</v>
      </c>
      <c r="C288" s="3">
        <v>46705.606091886642</v>
      </c>
    </row>
    <row r="289" spans="1:3">
      <c r="A289" s="3">
        <v>265</v>
      </c>
      <c r="B289" s="3">
        <v>707716.48250997218</v>
      </c>
      <c r="C289" s="3">
        <v>1268.7074900277657</v>
      </c>
    </row>
    <row r="290" spans="1:3">
      <c r="A290" s="3">
        <v>266</v>
      </c>
      <c r="B290" s="3">
        <v>736437.29752344778</v>
      </c>
      <c r="C290" s="3">
        <v>31355.642476552166</v>
      </c>
    </row>
    <row r="291" spans="1:3">
      <c r="A291" s="3">
        <v>267</v>
      </c>
      <c r="B291" s="3">
        <v>730728.81255182531</v>
      </c>
      <c r="C291" s="3">
        <v>14851.697448174702</v>
      </c>
    </row>
    <row r="292" spans="1:3">
      <c r="A292" s="3">
        <v>268</v>
      </c>
      <c r="B292" s="3">
        <v>704719.52789987042</v>
      </c>
      <c r="C292" s="3">
        <v>57608.78210012964</v>
      </c>
    </row>
    <row r="293" spans="1:3">
      <c r="A293" s="3">
        <v>269</v>
      </c>
      <c r="B293" s="3">
        <v>733690.08913085447</v>
      </c>
      <c r="C293" s="3">
        <v>-73056.099130854476</v>
      </c>
    </row>
    <row r="294" spans="1:3">
      <c r="A294" s="3">
        <v>270</v>
      </c>
      <c r="B294" s="3">
        <v>732477.03607438458</v>
      </c>
      <c r="C294" s="3">
        <v>6897.5239256154746</v>
      </c>
    </row>
    <row r="295" spans="1:3">
      <c r="A295" s="3">
        <v>271</v>
      </c>
      <c r="B295" s="3">
        <v>810041.07562630507</v>
      </c>
      <c r="C295" s="3">
        <v>-10284.615626305109</v>
      </c>
    </row>
    <row r="296" spans="1:3">
      <c r="A296" s="3">
        <v>272</v>
      </c>
      <c r="B296" s="3">
        <v>712069.20230083424</v>
      </c>
      <c r="C296" s="3">
        <v>-118726.20230083424</v>
      </c>
    </row>
    <row r="297" spans="1:3">
      <c r="A297" s="3">
        <v>273</v>
      </c>
      <c r="B297" s="3">
        <v>649382.90170620498</v>
      </c>
      <c r="C297" s="3">
        <v>-4342.9317062050104</v>
      </c>
    </row>
    <row r="298" spans="1:3">
      <c r="A298" s="3">
        <v>274</v>
      </c>
      <c r="B298" s="3">
        <v>565075.71428155561</v>
      </c>
      <c r="C298" s="3">
        <v>-3478.3842815556563</v>
      </c>
    </row>
    <row r="299" spans="1:3">
      <c r="A299" s="3">
        <v>275</v>
      </c>
      <c r="B299" s="3">
        <v>652165.78812987101</v>
      </c>
      <c r="C299" s="3">
        <v>-16328.048129871022</v>
      </c>
    </row>
    <row r="300" spans="1:3">
      <c r="A300" s="3">
        <v>276</v>
      </c>
      <c r="B300" s="3">
        <v>656661.2200450236</v>
      </c>
      <c r="C300" s="3">
        <v>30076.649954976398</v>
      </c>
    </row>
    <row r="301" spans="1:3">
      <c r="A301" s="3">
        <v>277</v>
      </c>
      <c r="B301" s="3">
        <v>751957.24104004633</v>
      </c>
      <c r="C301" s="3">
        <v>-78880.901040046359</v>
      </c>
    </row>
    <row r="302" spans="1:3">
      <c r="A302" s="3">
        <v>278</v>
      </c>
      <c r="B302" s="3">
        <v>731870.50954614975</v>
      </c>
      <c r="C302" s="3">
        <v>6677.910453850287</v>
      </c>
    </row>
    <row r="303" spans="1:3">
      <c r="A303" s="3">
        <v>279</v>
      </c>
      <c r="B303" s="3">
        <v>779072.54465525306</v>
      </c>
      <c r="C303" s="3">
        <v>-22452.774655253044</v>
      </c>
    </row>
    <row r="304" spans="1:3">
      <c r="A304" s="3">
        <v>280</v>
      </c>
      <c r="B304" s="3">
        <v>771401.76797463535</v>
      </c>
      <c r="C304" s="3">
        <v>-10279.347974635311</v>
      </c>
    </row>
    <row r="305" spans="1:3">
      <c r="A305" s="3">
        <v>281</v>
      </c>
      <c r="B305" s="3">
        <v>589907.62390811334</v>
      </c>
      <c r="C305" s="3">
        <v>-65008.05390811339</v>
      </c>
    </row>
    <row r="306" spans="1:3">
      <c r="A306" s="3">
        <v>282</v>
      </c>
      <c r="B306" s="3">
        <v>601788.40825530258</v>
      </c>
      <c r="C306" s="3">
        <v>-46230.638255302561</v>
      </c>
    </row>
    <row r="307" spans="1:3">
      <c r="A307" s="3">
        <v>283</v>
      </c>
      <c r="B307" s="3">
        <v>651380.87144627282</v>
      </c>
      <c r="C307" s="3">
        <v>62702.808553727227</v>
      </c>
    </row>
    <row r="308" spans="1:3">
      <c r="A308" s="3">
        <v>284</v>
      </c>
      <c r="B308" s="3">
        <v>554407.98299083614</v>
      </c>
      <c r="C308" s="3">
        <v>-56968.162990836136</v>
      </c>
    </row>
    <row r="309" spans="1:3">
      <c r="A309" s="3">
        <v>285</v>
      </c>
      <c r="B309" s="3">
        <v>644851.79175997968</v>
      </c>
      <c r="C309" s="3">
        <v>-8076.1317599796457</v>
      </c>
    </row>
    <row r="310" spans="1:3">
      <c r="A310" s="3">
        <v>286</v>
      </c>
      <c r="B310" s="3">
        <v>606497.90835689125</v>
      </c>
      <c r="C310" s="3">
        <v>26511.621643108781</v>
      </c>
    </row>
    <row r="311" spans="1:3">
      <c r="A311" s="3">
        <v>287</v>
      </c>
      <c r="B311" s="3">
        <v>594902.54825828306</v>
      </c>
      <c r="C311" s="3">
        <v>15046.451741716941</v>
      </c>
    </row>
    <row r="312" spans="1:3">
      <c r="A312" s="3">
        <v>288</v>
      </c>
      <c r="B312" s="3">
        <v>592476.4421453434</v>
      </c>
      <c r="C312" s="3">
        <v>-44372.742145343451</v>
      </c>
    </row>
    <row r="313" spans="1:3">
      <c r="A313" s="3">
        <v>289</v>
      </c>
      <c r="B313" s="3">
        <v>749102.99855423509</v>
      </c>
      <c r="C313" s="3">
        <v>-19678.57855423505</v>
      </c>
    </row>
    <row r="314" spans="1:3">
      <c r="A314" s="3">
        <v>290</v>
      </c>
      <c r="B314" s="3">
        <v>724485.15711411322</v>
      </c>
      <c r="C314" s="3">
        <v>-28223.667114113225</v>
      </c>
    </row>
    <row r="315" spans="1:3">
      <c r="A315" s="3">
        <v>291</v>
      </c>
      <c r="B315" s="3">
        <v>742538.24083686923</v>
      </c>
      <c r="C315" s="3">
        <v>70778.469163130736</v>
      </c>
    </row>
    <row r="316" spans="1:3">
      <c r="A316" s="3">
        <v>292</v>
      </c>
      <c r="B316" s="3">
        <v>699118.07702146587</v>
      </c>
      <c r="C316" s="3">
        <v>2950.8429785341723</v>
      </c>
    </row>
    <row r="317" spans="1:3">
      <c r="A317" s="3">
        <v>293</v>
      </c>
      <c r="B317" s="3">
        <v>583200.15406645695</v>
      </c>
      <c r="C317" s="3">
        <v>-36976.454066456994</v>
      </c>
    </row>
    <row r="318" spans="1:3">
      <c r="A318" s="3">
        <v>294</v>
      </c>
      <c r="B318" s="3">
        <v>530539.38020323962</v>
      </c>
      <c r="C318" s="3">
        <v>2581.8797967603896</v>
      </c>
    </row>
    <row r="319" spans="1:3">
      <c r="A319" s="3">
        <v>295</v>
      </c>
      <c r="B319" s="3">
        <v>490330.23918437387</v>
      </c>
      <c r="C319" s="3">
        <v>8640.0808156261337</v>
      </c>
    </row>
    <row r="320" spans="1:3">
      <c r="A320" s="3">
        <v>296</v>
      </c>
      <c r="B320" s="3">
        <v>507883.83047211292</v>
      </c>
      <c r="C320" s="3">
        <v>-20145.570472112915</v>
      </c>
    </row>
    <row r="321" spans="1:3">
      <c r="A321" s="3">
        <v>297</v>
      </c>
      <c r="B321" s="3">
        <v>656768.25413824152</v>
      </c>
      <c r="C321" s="3">
        <v>11691.115861758473</v>
      </c>
    </row>
    <row r="322" spans="1:3">
      <c r="A322" s="3">
        <v>298</v>
      </c>
      <c r="B322" s="3">
        <v>657018.00035575009</v>
      </c>
      <c r="C322" s="3">
        <v>106144.44964424986</v>
      </c>
    </row>
    <row r="323" spans="1:3">
      <c r="A323" s="3">
        <v>299</v>
      </c>
      <c r="B323" s="3">
        <v>621161.5791277464</v>
      </c>
      <c r="C323" s="3">
        <v>-22144.249127746443</v>
      </c>
    </row>
    <row r="324" spans="1:3">
      <c r="A324" s="3">
        <v>300</v>
      </c>
      <c r="B324" s="3">
        <v>498571.86436215381</v>
      </c>
      <c r="C324" s="3">
        <v>-96989.28436215379</v>
      </c>
    </row>
    <row r="325" spans="1:3">
      <c r="A325" s="3">
        <v>301</v>
      </c>
      <c r="B325" s="3">
        <v>740825.69534538244</v>
      </c>
      <c r="C325" s="3">
        <v>-37012.705345382448</v>
      </c>
    </row>
    <row r="326" spans="1:3">
      <c r="A326" s="3">
        <v>302</v>
      </c>
      <c r="B326" s="3">
        <v>731442.37317327806</v>
      </c>
      <c r="C326" s="3">
        <v>-7095.6431732780766</v>
      </c>
    </row>
    <row r="327" spans="1:3">
      <c r="A327" s="3">
        <v>303</v>
      </c>
      <c r="B327" s="3">
        <v>741396.54384254478</v>
      </c>
      <c r="C327" s="3">
        <v>-10506.53384254477</v>
      </c>
    </row>
    <row r="328" spans="1:3">
      <c r="A328" s="3">
        <v>304</v>
      </c>
      <c r="B328" s="3">
        <v>738363.9112013703</v>
      </c>
      <c r="C328" s="3">
        <v>42217.038798629656</v>
      </c>
    </row>
    <row r="329" spans="1:3">
      <c r="A329" s="3">
        <v>305</v>
      </c>
      <c r="B329" s="3">
        <v>679530.8379625862</v>
      </c>
      <c r="C329" s="3">
        <v>48426.642037413782</v>
      </c>
    </row>
    <row r="330" spans="1:3">
      <c r="A330" s="3">
        <v>306</v>
      </c>
      <c r="B330" s="3">
        <v>653485.87527955859</v>
      </c>
      <c r="C330" s="3">
        <v>-115109.87527955859</v>
      </c>
    </row>
    <row r="331" spans="1:3">
      <c r="A331" s="3">
        <v>307</v>
      </c>
      <c r="B331" s="3">
        <v>671217.85672266094</v>
      </c>
      <c r="C331" s="3">
        <v>-5875.3667226609541</v>
      </c>
    </row>
    <row r="332" spans="1:3">
      <c r="A332" s="3">
        <v>308</v>
      </c>
      <c r="B332" s="3">
        <v>674714.30376777973</v>
      </c>
      <c r="C332" s="3">
        <v>-23550.123767779674</v>
      </c>
    </row>
    <row r="333" spans="1:3">
      <c r="A333" s="3">
        <v>309</v>
      </c>
      <c r="B333" s="3">
        <v>651880.36388128984</v>
      </c>
      <c r="C333" s="3">
        <v>-23342.063881289796</v>
      </c>
    </row>
    <row r="334" spans="1:3">
      <c r="A334" s="3">
        <v>310</v>
      </c>
      <c r="B334" s="3">
        <v>634968.97715285828</v>
      </c>
      <c r="C334" s="3">
        <v>-98444.137152858311</v>
      </c>
    </row>
    <row r="335" spans="1:3">
      <c r="A335" s="3">
        <v>311</v>
      </c>
      <c r="B335" s="3">
        <v>640285.00378268166</v>
      </c>
      <c r="C335" s="3">
        <v>-18607.703782681609</v>
      </c>
    </row>
    <row r="336" spans="1:3">
      <c r="A336" s="3">
        <v>312</v>
      </c>
      <c r="B336" s="3">
        <v>713246.5773262314</v>
      </c>
      <c r="C336" s="3">
        <v>57882.492673768546</v>
      </c>
    </row>
    <row r="337" spans="1:3">
      <c r="A337" s="3">
        <v>313</v>
      </c>
      <c r="B337" s="3">
        <v>666329.96646570927</v>
      </c>
      <c r="C337" s="3">
        <v>35722.503534290707</v>
      </c>
    </row>
    <row r="338" spans="1:3">
      <c r="A338" s="3">
        <v>314</v>
      </c>
      <c r="B338" s="3">
        <v>730871.52467611583</v>
      </c>
      <c r="C338" s="3">
        <v>-42503.064676115871</v>
      </c>
    </row>
    <row r="339" spans="1:3">
      <c r="A339" s="3">
        <v>315</v>
      </c>
      <c r="B339" s="3">
        <v>660478.76936979615</v>
      </c>
      <c r="C339" s="3">
        <v>51897.000630203867</v>
      </c>
    </row>
    <row r="340" spans="1:3">
      <c r="A340" s="3">
        <v>316</v>
      </c>
      <c r="B340" s="3">
        <v>802013.51863496087</v>
      </c>
      <c r="C340" s="3">
        <v>42697.151365039172</v>
      </c>
    </row>
    <row r="341" spans="1:3">
      <c r="A341" s="3">
        <v>317</v>
      </c>
      <c r="B341" s="3">
        <v>647599.00015257299</v>
      </c>
      <c r="C341" s="3">
        <v>-27334.800152573036</v>
      </c>
    </row>
    <row r="342" spans="1:3">
      <c r="A342" s="3">
        <v>318</v>
      </c>
      <c r="B342" s="3">
        <v>570070.63863172522</v>
      </c>
      <c r="C342" s="3">
        <v>-33225.218631725176</v>
      </c>
    </row>
    <row r="343" spans="1:3">
      <c r="A343" s="3">
        <v>319</v>
      </c>
      <c r="B343" s="3">
        <v>723807.27452373295</v>
      </c>
      <c r="C343" s="3">
        <v>2968.9454762670211</v>
      </c>
    </row>
    <row r="344" spans="1:3" ht="15" thickBot="1">
      <c r="A344" s="4">
        <v>320</v>
      </c>
      <c r="B344" s="4">
        <v>636110.67414718273</v>
      </c>
      <c r="C344" s="4">
        <v>-76449.834147182759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9DD4-CE8E-42E4-B01C-4B5CF5E28371}">
  <dimension ref="A1:I347"/>
  <sheetViews>
    <sheetView tabSelected="1" zoomScale="72" workbookViewId="0">
      <selection activeCell="F285" sqref="F285"/>
    </sheetView>
  </sheetViews>
  <sheetFormatPr defaultRowHeight="14.6"/>
  <sheetData>
    <row r="1" spans="1:9">
      <c r="A1" t="s">
        <v>108</v>
      </c>
    </row>
    <row r="2" spans="1:9" ht="15" thickBot="1"/>
    <row r="3" spans="1:9">
      <c r="A3" s="6" t="s">
        <v>109</v>
      </c>
      <c r="B3" s="6"/>
    </row>
    <row r="4" spans="1:9">
      <c r="A4" s="3" t="s">
        <v>110</v>
      </c>
      <c r="B4" s="3">
        <v>0.89932699460315568</v>
      </c>
    </row>
    <row r="5" spans="1:9">
      <c r="A5" s="3" t="s">
        <v>111</v>
      </c>
      <c r="B5" s="3">
        <v>0.80878904322194434</v>
      </c>
    </row>
    <row r="6" spans="1:9">
      <c r="A6" s="3" t="s">
        <v>112</v>
      </c>
      <c r="B6" s="3">
        <v>0.80636096758031828</v>
      </c>
    </row>
    <row r="7" spans="1:9">
      <c r="A7" s="3" t="s">
        <v>113</v>
      </c>
      <c r="B7" s="3">
        <v>45664.124986985218</v>
      </c>
    </row>
    <row r="8" spans="1:9" ht="15" thickBot="1">
      <c r="A8" s="4" t="s">
        <v>114</v>
      </c>
      <c r="B8" s="4">
        <v>320</v>
      </c>
    </row>
    <row r="10" spans="1:9" ht="15" thickBot="1">
      <c r="A10" t="s">
        <v>115</v>
      </c>
    </row>
    <row r="11" spans="1:9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s="3" t="s">
        <v>116</v>
      </c>
      <c r="B12" s="3">
        <v>4</v>
      </c>
      <c r="C12" s="3">
        <v>2778326738880.2319</v>
      </c>
      <c r="D12" s="3">
        <v>694581684720.05798</v>
      </c>
      <c r="E12" s="3">
        <v>333.09878380901307</v>
      </c>
      <c r="F12" s="3">
        <v>8.8465478759329151E-112</v>
      </c>
    </row>
    <row r="13" spans="1:9">
      <c r="A13" s="3" t="s">
        <v>117</v>
      </c>
      <c r="B13" s="3">
        <v>315</v>
      </c>
      <c r="C13" s="3">
        <v>656841877910.50745</v>
      </c>
      <c r="D13" s="3">
        <v>2085212310.8270078</v>
      </c>
      <c r="E13" s="3"/>
      <c r="F13" s="3"/>
    </row>
    <row r="14" spans="1:9" ht="15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s="3" t="s">
        <v>119</v>
      </c>
      <c r="B17" s="3">
        <v>126946.23572812491</v>
      </c>
      <c r="C17" s="3">
        <v>43739.458076384057</v>
      </c>
      <c r="D17" s="3">
        <v>2.9023275850019301</v>
      </c>
      <c r="E17" s="3">
        <v>3.9651831428432396E-3</v>
      </c>
      <c r="F17" s="3">
        <v>40887.82269944594</v>
      </c>
      <c r="G17" s="3">
        <v>213004.64875680389</v>
      </c>
      <c r="H17" s="3">
        <v>40887.82269944594</v>
      </c>
      <c r="I17" s="3">
        <v>213004.64875680389</v>
      </c>
    </row>
    <row r="18" spans="1:9">
      <c r="A18" s="3" t="s">
        <v>107</v>
      </c>
      <c r="B18" s="3">
        <v>15833.228547060269</v>
      </c>
      <c r="C18" s="3">
        <v>6010.3646769635088</v>
      </c>
      <c r="D18" s="3">
        <v>2.6343207771977259</v>
      </c>
      <c r="E18" s="3">
        <v>8.8470727987982039E-3</v>
      </c>
      <c r="F18" s="3">
        <v>4007.6946110927474</v>
      </c>
      <c r="G18" s="3">
        <v>27658.762483027793</v>
      </c>
      <c r="H18" s="3">
        <v>4007.6946110927474</v>
      </c>
      <c r="I18" s="3">
        <v>27658.762483027793</v>
      </c>
    </row>
    <row r="19" spans="1:9">
      <c r="A19" s="3" t="s">
        <v>136</v>
      </c>
      <c r="B19" s="3">
        <v>1.1711943461526708</v>
      </c>
      <c r="C19" s="3">
        <v>0.13210516689590529</v>
      </c>
      <c r="D19" s="3">
        <v>8.8656210326393605</v>
      </c>
      <c r="E19" s="3">
        <v>5.7517272811983475E-17</v>
      </c>
      <c r="F19" s="3">
        <v>0.91127432162706645</v>
      </c>
      <c r="G19" s="3">
        <v>1.4311143706782752</v>
      </c>
      <c r="H19" s="3">
        <v>0.91127432162706645</v>
      </c>
      <c r="I19" s="3">
        <v>1.4311143706782752</v>
      </c>
    </row>
    <row r="20" spans="1:9">
      <c r="A20" s="3" t="s">
        <v>137</v>
      </c>
      <c r="B20" s="3">
        <v>33.594132659481353</v>
      </c>
      <c r="C20" s="3">
        <v>1.0545402310196004</v>
      </c>
      <c r="D20" s="3">
        <v>31.856662905122441</v>
      </c>
      <c r="E20" s="3">
        <v>1.569877877600438E-100</v>
      </c>
      <c r="F20" s="3">
        <v>31.519299939835875</v>
      </c>
      <c r="G20" s="3">
        <v>35.668965379126831</v>
      </c>
      <c r="H20" s="3">
        <v>31.519299939835875</v>
      </c>
      <c r="I20" s="3">
        <v>35.668965379126831</v>
      </c>
    </row>
    <row r="21" spans="1:9" ht="15" thickBot="1">
      <c r="A21" s="4" t="s">
        <v>138</v>
      </c>
      <c r="B21" s="4">
        <v>2984.1123290315154</v>
      </c>
      <c r="C21" s="4">
        <v>478.35565420868591</v>
      </c>
      <c r="D21" s="4">
        <v>6.2382712585846765</v>
      </c>
      <c r="E21" s="4">
        <v>1.4239358461302033E-9</v>
      </c>
      <c r="F21" s="4">
        <v>2042.9363228586867</v>
      </c>
      <c r="G21" s="4">
        <v>3925.2883352043441</v>
      </c>
      <c r="H21" s="4">
        <v>2042.9363228586867</v>
      </c>
      <c r="I21" s="4">
        <v>3925.2883352043441</v>
      </c>
    </row>
    <row r="25" spans="1:9">
      <c r="A25" t="s">
        <v>132</v>
      </c>
    </row>
    <row r="26" spans="1:9" ht="15" thickBot="1"/>
    <row r="27" spans="1:9">
      <c r="A27" s="5" t="s">
        <v>133</v>
      </c>
      <c r="B27" s="5" t="s">
        <v>134</v>
      </c>
      <c r="C27" s="5" t="s">
        <v>135</v>
      </c>
    </row>
    <row r="28" spans="1:9">
      <c r="A28" s="3">
        <v>1</v>
      </c>
      <c r="B28" s="3">
        <v>712092.47740722122</v>
      </c>
      <c r="C28" s="3">
        <v>-53259.857407221221</v>
      </c>
    </row>
    <row r="29" spans="1:9">
      <c r="A29" s="3">
        <v>2</v>
      </c>
      <c r="B29" s="3">
        <v>715249.69715120422</v>
      </c>
      <c r="C29" s="3">
        <v>-80813.697151204222</v>
      </c>
    </row>
    <row r="30" spans="1:9">
      <c r="A30" s="3">
        <v>3</v>
      </c>
      <c r="B30" s="3">
        <v>765871.46642032568</v>
      </c>
      <c r="C30" s="3">
        <v>-87149.406420325628</v>
      </c>
    </row>
    <row r="31" spans="1:9">
      <c r="A31" s="3">
        <v>4</v>
      </c>
      <c r="B31" s="3">
        <v>769682.02582982648</v>
      </c>
      <c r="C31" s="3">
        <v>-110761.72582982644</v>
      </c>
    </row>
    <row r="32" spans="1:9">
      <c r="A32" s="3">
        <v>5</v>
      </c>
      <c r="B32" s="3">
        <v>795552.20552667498</v>
      </c>
      <c r="C32" s="3">
        <v>-54210.765526675037</v>
      </c>
    </row>
    <row r="33" spans="1:3">
      <c r="A33" s="3">
        <v>6</v>
      </c>
      <c r="B33" s="3">
        <v>783068.76355353335</v>
      </c>
      <c r="C33" s="3">
        <v>-21233.423553533386</v>
      </c>
    </row>
    <row r="34" spans="1:3">
      <c r="A34" s="3">
        <v>7</v>
      </c>
      <c r="B34" s="3">
        <v>791952.84983087331</v>
      </c>
      <c r="C34" s="3">
        <v>14662.690169126727</v>
      </c>
    </row>
    <row r="35" spans="1:3">
      <c r="A35" s="3">
        <v>8</v>
      </c>
      <c r="B35" s="3">
        <v>779843.47019998683</v>
      </c>
      <c r="C35" s="3">
        <v>70320.789800013183</v>
      </c>
    </row>
    <row r="36" spans="1:3">
      <c r="A36" s="3">
        <v>9</v>
      </c>
      <c r="B36" s="3">
        <v>844305.83721481625</v>
      </c>
      <c r="C36" s="3">
        <v>86275.862785183708</v>
      </c>
    </row>
    <row r="37" spans="1:3">
      <c r="A37" s="3">
        <v>10</v>
      </c>
      <c r="B37" s="3">
        <v>778160.18423377001</v>
      </c>
      <c r="C37" s="3">
        <v>850.75576622993685</v>
      </c>
    </row>
    <row r="38" spans="1:3">
      <c r="A38" s="3">
        <v>11</v>
      </c>
      <c r="B38" s="3">
        <v>738723.38324302773</v>
      </c>
      <c r="C38" s="3">
        <v>-15662.623243027716</v>
      </c>
    </row>
    <row r="39" spans="1:3">
      <c r="A39" s="3">
        <v>12</v>
      </c>
      <c r="B39" s="3">
        <v>838370.77826862584</v>
      </c>
      <c r="C39" s="3">
        <v>72421.161731374101</v>
      </c>
    </row>
    <row r="40" spans="1:3">
      <c r="A40" s="3">
        <v>13</v>
      </c>
      <c r="B40" s="3">
        <v>884038.10974085797</v>
      </c>
      <c r="C40" s="3">
        <v>38130.49025914201</v>
      </c>
    </row>
    <row r="41" spans="1:3">
      <c r="A41" s="3">
        <v>14</v>
      </c>
      <c r="B41" s="3">
        <v>783308.00679093227</v>
      </c>
      <c r="C41" s="3">
        <v>-56701.72679093224</v>
      </c>
    </row>
    <row r="42" spans="1:3">
      <c r="A42" s="3">
        <v>15</v>
      </c>
      <c r="B42" s="3">
        <v>760920.89994498703</v>
      </c>
      <c r="C42" s="3">
        <v>-14419.809944987064</v>
      </c>
    </row>
    <row r="43" spans="1:3">
      <c r="A43" s="3">
        <v>16</v>
      </c>
      <c r="B43" s="3">
        <v>810948.26197877445</v>
      </c>
      <c r="C43" s="3">
        <v>23068.758021225571</v>
      </c>
    </row>
    <row r="44" spans="1:3">
      <c r="A44" s="3">
        <v>17</v>
      </c>
      <c r="B44" s="3">
        <v>682885.90769453975</v>
      </c>
      <c r="C44" s="3">
        <v>-16733.387694539735</v>
      </c>
    </row>
    <row r="45" spans="1:3">
      <c r="A45" s="3">
        <v>18</v>
      </c>
      <c r="B45" s="3">
        <v>600804.81351507362</v>
      </c>
      <c r="C45" s="3">
        <v>-27649.623515073676</v>
      </c>
    </row>
    <row r="46" spans="1:3">
      <c r="A46" s="3">
        <v>19</v>
      </c>
      <c r="B46" s="3">
        <v>686122.07460308098</v>
      </c>
      <c r="C46" s="3">
        <v>-19548.874603081029</v>
      </c>
    </row>
    <row r="47" spans="1:3">
      <c r="A47" s="3">
        <v>20</v>
      </c>
      <c r="B47" s="3">
        <v>602415.36387963919</v>
      </c>
      <c r="C47" s="3">
        <v>-10795.413879639236</v>
      </c>
    </row>
    <row r="48" spans="1:3">
      <c r="A48" s="3">
        <v>21</v>
      </c>
      <c r="B48" s="3">
        <v>510354.70710128121</v>
      </c>
      <c r="C48" s="3">
        <v>-94632.887101281201</v>
      </c>
    </row>
    <row r="49" spans="1:3">
      <c r="A49" s="3">
        <v>22</v>
      </c>
      <c r="B49" s="3">
        <v>501550.4549635438</v>
      </c>
      <c r="C49" s="3">
        <v>-9645.3249635437969</v>
      </c>
    </row>
    <row r="50" spans="1:3">
      <c r="A50" s="3">
        <v>23</v>
      </c>
      <c r="B50" s="3">
        <v>534157.41374594742</v>
      </c>
      <c r="C50" s="3">
        <v>21771.986254052608</v>
      </c>
    </row>
    <row r="51" spans="1:3">
      <c r="A51" s="3">
        <v>24</v>
      </c>
      <c r="B51" s="3">
        <v>562249.27460695582</v>
      </c>
      <c r="C51" s="3">
        <v>3561.7153930441709</v>
      </c>
    </row>
    <row r="52" spans="1:3">
      <c r="A52" s="3">
        <v>25</v>
      </c>
      <c r="B52" s="3">
        <v>836512.19770167663</v>
      </c>
      <c r="C52" s="3">
        <v>-24741.057701676618</v>
      </c>
    </row>
    <row r="53" spans="1:3">
      <c r="A53" s="3">
        <v>26</v>
      </c>
      <c r="B53" s="3">
        <v>901836.8515018645</v>
      </c>
      <c r="C53" s="3">
        <v>-101384.91150186455</v>
      </c>
    </row>
    <row r="54" spans="1:3">
      <c r="A54" s="3">
        <v>27</v>
      </c>
      <c r="B54" s="3">
        <v>794681.25356916839</v>
      </c>
      <c r="C54" s="3">
        <v>-11008.433569168439</v>
      </c>
    </row>
    <row r="55" spans="1:3">
      <c r="A55" s="3">
        <v>28</v>
      </c>
      <c r="B55" s="3">
        <v>698431.76965594525</v>
      </c>
      <c r="C55" s="3">
        <v>3210.2003440547269</v>
      </c>
    </row>
    <row r="56" spans="1:3">
      <c r="A56" s="3">
        <v>29</v>
      </c>
      <c r="B56" s="3">
        <v>594913.8430283831</v>
      </c>
      <c r="C56" s="3">
        <v>-83069.433028383122</v>
      </c>
    </row>
    <row r="57" spans="1:3">
      <c r="A57" s="3">
        <v>30</v>
      </c>
      <c r="B57" s="3">
        <v>542338.27055895678</v>
      </c>
      <c r="C57" s="3">
        <v>-4954.4805589567404</v>
      </c>
    </row>
    <row r="58" spans="1:3">
      <c r="A58" s="3">
        <v>31</v>
      </c>
      <c r="B58" s="3">
        <v>524034.28099489736</v>
      </c>
      <c r="C58" s="3">
        <v>-23861.26099489734</v>
      </c>
    </row>
    <row r="59" spans="1:3">
      <c r="A59" s="3">
        <v>32</v>
      </c>
      <c r="B59" s="3">
        <v>509606.35130943055</v>
      </c>
      <c r="C59" s="3">
        <v>-81688.971309430548</v>
      </c>
    </row>
    <row r="60" spans="1:3">
      <c r="A60" s="3">
        <v>33</v>
      </c>
      <c r="B60" s="3">
        <v>756226.5393909046</v>
      </c>
      <c r="C60" s="3">
        <v>-114361.50939090457</v>
      </c>
    </row>
    <row r="61" spans="1:3">
      <c r="A61" s="3">
        <v>34</v>
      </c>
      <c r="B61" s="3">
        <v>858985.17534661235</v>
      </c>
      <c r="C61" s="3">
        <v>-59507.415346612339</v>
      </c>
    </row>
    <row r="62" spans="1:3">
      <c r="A62" s="3">
        <v>35</v>
      </c>
      <c r="B62" s="3">
        <v>806367.05626265006</v>
      </c>
      <c r="C62" s="3">
        <v>-7414.8862626500195</v>
      </c>
    </row>
    <row r="63" spans="1:3">
      <c r="A63" s="3">
        <v>36</v>
      </c>
      <c r="B63" s="3">
        <v>835001.51968058059</v>
      </c>
      <c r="C63" s="3">
        <v>-34021.739680580562</v>
      </c>
    </row>
    <row r="64" spans="1:3">
      <c r="A64" s="3">
        <v>37</v>
      </c>
      <c r="B64" s="3">
        <v>775819.78944184678</v>
      </c>
      <c r="C64" s="3">
        <v>44774.140558153274</v>
      </c>
    </row>
    <row r="65" spans="1:3">
      <c r="A65" s="3">
        <v>38</v>
      </c>
      <c r="B65" s="3">
        <v>765727.5235327452</v>
      </c>
      <c r="C65" s="3">
        <v>-47396.993532745168</v>
      </c>
    </row>
    <row r="66" spans="1:3">
      <c r="A66" s="3">
        <v>39</v>
      </c>
      <c r="B66" s="3">
        <v>753568.81127150846</v>
      </c>
      <c r="C66" s="3">
        <v>-16935.411271508434</v>
      </c>
    </row>
    <row r="67" spans="1:3">
      <c r="A67" s="3">
        <v>40</v>
      </c>
      <c r="B67" s="3">
        <v>834696.10084368847</v>
      </c>
      <c r="C67" s="3">
        <v>-6072.2508436884964</v>
      </c>
    </row>
    <row r="68" spans="1:3">
      <c r="A68" s="3">
        <v>41</v>
      </c>
      <c r="B68" s="3">
        <v>597211.45008940203</v>
      </c>
      <c r="C68" s="3">
        <v>-5015.6000894020544</v>
      </c>
    </row>
    <row r="69" spans="1:3">
      <c r="A69" s="3">
        <v>42</v>
      </c>
      <c r="B69" s="3">
        <v>530209.82745493203</v>
      </c>
      <c r="C69" s="3">
        <v>2434.6325450679287</v>
      </c>
    </row>
    <row r="70" spans="1:3">
      <c r="A70" s="3">
        <v>43</v>
      </c>
      <c r="B70" s="3">
        <v>598586.48737960448</v>
      </c>
      <c r="C70" s="3">
        <v>58842.692620395566</v>
      </c>
    </row>
    <row r="71" spans="1:3">
      <c r="A71" s="3">
        <v>44</v>
      </c>
      <c r="B71" s="3">
        <v>603123.95344426937</v>
      </c>
      <c r="C71" s="3">
        <v>2054.0465557306306</v>
      </c>
    </row>
    <row r="72" spans="1:3">
      <c r="A72" s="3">
        <v>45</v>
      </c>
      <c r="B72" s="3">
        <v>725613.54392588185</v>
      </c>
      <c r="C72" s="3">
        <v>-130145.94392588187</v>
      </c>
    </row>
    <row r="73" spans="1:3">
      <c r="A73" s="3">
        <v>46</v>
      </c>
      <c r="B73" s="3">
        <v>645532.88522842631</v>
      </c>
      <c r="C73" s="3">
        <v>-45929.485228426289</v>
      </c>
    </row>
    <row r="74" spans="1:3">
      <c r="A74" s="3">
        <v>47</v>
      </c>
      <c r="B74" s="3">
        <v>584604.96701459982</v>
      </c>
      <c r="C74" s="3">
        <v>30195.122985400143</v>
      </c>
    </row>
    <row r="75" spans="1:3">
      <c r="A75" s="3">
        <v>48</v>
      </c>
      <c r="B75" s="3">
        <v>575710.68455348047</v>
      </c>
      <c r="C75" s="3">
        <v>9655.0454465195071</v>
      </c>
    </row>
    <row r="76" spans="1:3">
      <c r="A76" s="3">
        <v>49</v>
      </c>
      <c r="B76" s="3">
        <v>659203.87073868397</v>
      </c>
      <c r="C76" s="3">
        <v>-36392.130738683976</v>
      </c>
    </row>
    <row r="77" spans="1:3">
      <c r="A77" s="3">
        <v>50</v>
      </c>
      <c r="B77" s="3">
        <v>599621.63368408917</v>
      </c>
      <c r="C77" s="3">
        <v>3675.9363159107743</v>
      </c>
    </row>
    <row r="78" spans="1:3">
      <c r="A78" s="3">
        <v>51</v>
      </c>
      <c r="B78" s="3">
        <v>612266.33563351631</v>
      </c>
      <c r="C78" s="3">
        <v>13406.524366483674</v>
      </c>
    </row>
    <row r="79" spans="1:3">
      <c r="A79" s="3">
        <v>52</v>
      </c>
      <c r="B79" s="3">
        <v>740392.62821560248</v>
      </c>
      <c r="C79" s="3">
        <v>33422.511784397531</v>
      </c>
    </row>
    <row r="80" spans="1:3">
      <c r="A80" s="3">
        <v>53</v>
      </c>
      <c r="B80" s="3">
        <v>550753.473066604</v>
      </c>
      <c r="C80" s="3">
        <v>-87219.223066603998</v>
      </c>
    </row>
    <row r="81" spans="1:3">
      <c r="A81" s="3">
        <v>54</v>
      </c>
      <c r="B81" s="3">
        <v>706377.53411918238</v>
      </c>
      <c r="C81" s="3">
        <v>40300.215880817617</v>
      </c>
    </row>
    <row r="82" spans="1:3">
      <c r="A82" s="3">
        <v>55</v>
      </c>
      <c r="B82" s="3">
        <v>669949.06696563656</v>
      </c>
      <c r="C82" s="3">
        <v>50903.433034363436</v>
      </c>
    </row>
    <row r="83" spans="1:3">
      <c r="A83" s="3">
        <v>56</v>
      </c>
      <c r="B83" s="3">
        <v>522176.74360915553</v>
      </c>
      <c r="C83" s="3">
        <v>-34711.833609155554</v>
      </c>
    </row>
    <row r="84" spans="1:3">
      <c r="A84" s="3">
        <v>57</v>
      </c>
      <c r="B84" s="3">
        <v>512407.18076946645</v>
      </c>
      <c r="C84" s="3">
        <v>5642.0792305335635</v>
      </c>
    </row>
    <row r="85" spans="1:3">
      <c r="A85" s="3">
        <v>58</v>
      </c>
      <c r="B85" s="3">
        <v>507803.61291847052</v>
      </c>
      <c r="C85" s="3">
        <v>-7505.1329184705392</v>
      </c>
    </row>
    <row r="86" spans="1:3">
      <c r="A86" s="3">
        <v>59</v>
      </c>
      <c r="B86" s="3">
        <v>661245.30301750416</v>
      </c>
      <c r="C86" s="3">
        <v>-43954.153017504141</v>
      </c>
    </row>
    <row r="87" spans="1:3">
      <c r="A87" s="3">
        <v>60</v>
      </c>
      <c r="B87" s="3">
        <v>600397.33029166481</v>
      </c>
      <c r="C87" s="3">
        <v>-46640.900291664759</v>
      </c>
    </row>
    <row r="88" spans="1:3">
      <c r="A88" s="3">
        <v>61</v>
      </c>
      <c r="B88" s="3">
        <v>678209.6449324633</v>
      </c>
      <c r="C88" s="3">
        <v>71350.065067536663</v>
      </c>
    </row>
    <row r="89" spans="1:3">
      <c r="A89" s="3">
        <v>62</v>
      </c>
      <c r="B89" s="3">
        <v>560697.28826601838</v>
      </c>
      <c r="C89" s="3">
        <v>55269.191733981599</v>
      </c>
    </row>
    <row r="90" spans="1:3">
      <c r="A90" s="3">
        <v>63</v>
      </c>
      <c r="B90" s="3">
        <v>579768.09888421581</v>
      </c>
      <c r="C90" s="3">
        <v>-7756.8988842158578</v>
      </c>
    </row>
    <row r="91" spans="1:3">
      <c r="A91" s="3">
        <v>64</v>
      </c>
      <c r="B91" s="3">
        <v>708978.27859153249</v>
      </c>
      <c r="C91" s="3">
        <v>52881.911408467451</v>
      </c>
    </row>
    <row r="92" spans="1:3">
      <c r="A92" s="3">
        <v>65</v>
      </c>
      <c r="B92" s="3">
        <v>800992.30044454383</v>
      </c>
      <c r="C92" s="3">
        <v>-16489.620444543776</v>
      </c>
    </row>
    <row r="93" spans="1:3">
      <c r="A93" s="3">
        <v>66</v>
      </c>
      <c r="B93" s="3">
        <v>732006.38588416285</v>
      </c>
      <c r="C93" s="3">
        <v>-14864.835884162807</v>
      </c>
    </row>
    <row r="94" spans="1:3">
      <c r="A94" s="3">
        <v>67</v>
      </c>
      <c r="B94" s="3">
        <v>838747.36925699585</v>
      </c>
      <c r="C94" s="3">
        <v>-153368.28925699589</v>
      </c>
    </row>
    <row r="95" spans="1:3">
      <c r="A95" s="3">
        <v>68</v>
      </c>
      <c r="B95" s="3">
        <v>728796.38459065673</v>
      </c>
      <c r="C95" s="3">
        <v>11700.265409343294</v>
      </c>
    </row>
    <row r="96" spans="1:3">
      <c r="A96" s="3">
        <v>69</v>
      </c>
      <c r="B96" s="3">
        <v>596086.0231095372</v>
      </c>
      <c r="C96" s="3">
        <v>65841.116890462814</v>
      </c>
    </row>
    <row r="97" spans="1:3">
      <c r="A97" s="3">
        <v>70</v>
      </c>
      <c r="B97" s="3">
        <v>509368.10070224712</v>
      </c>
      <c r="C97" s="3">
        <v>-30317.600702247117</v>
      </c>
    </row>
    <row r="98" spans="1:3">
      <c r="A98" s="3">
        <v>71</v>
      </c>
      <c r="B98" s="3">
        <v>600580.79500414617</v>
      </c>
      <c r="C98" s="3">
        <v>4443.0749958538217</v>
      </c>
    </row>
    <row r="99" spans="1:3">
      <c r="A99" s="3">
        <v>72</v>
      </c>
      <c r="B99" s="3">
        <v>638322.68149168417</v>
      </c>
      <c r="C99" s="3">
        <v>36451.408508315799</v>
      </c>
    </row>
    <row r="100" spans="1:3">
      <c r="A100" s="3">
        <v>73</v>
      </c>
      <c r="B100" s="3">
        <v>615015.25307061779</v>
      </c>
      <c r="C100" s="3">
        <v>1054.1569293822395</v>
      </c>
    </row>
    <row r="101" spans="1:3">
      <c r="A101" s="3">
        <v>74</v>
      </c>
      <c r="B101" s="3">
        <v>701355.66886148695</v>
      </c>
      <c r="C101" s="3">
        <v>-70525.728861487005</v>
      </c>
    </row>
    <row r="102" spans="1:3">
      <c r="A102" s="3">
        <v>75</v>
      </c>
      <c r="B102" s="3">
        <v>715561.93018951197</v>
      </c>
      <c r="C102" s="3">
        <v>72525.74981048808</v>
      </c>
    </row>
    <row r="103" spans="1:3">
      <c r="A103" s="3">
        <v>76</v>
      </c>
      <c r="B103" s="3">
        <v>727218.62336221151</v>
      </c>
      <c r="C103" s="3">
        <v>-46378.263362211525</v>
      </c>
    </row>
    <row r="104" spans="1:3">
      <c r="A104" s="3">
        <v>77</v>
      </c>
      <c r="B104" s="3">
        <v>649342.54176967684</v>
      </c>
      <c r="C104" s="3">
        <v>-5685.0717696768697</v>
      </c>
    </row>
    <row r="105" spans="1:3">
      <c r="A105" s="3">
        <v>78</v>
      </c>
      <c r="B105" s="3">
        <v>646344.38408469735</v>
      </c>
      <c r="C105" s="3">
        <v>44768.21591530263</v>
      </c>
    </row>
    <row r="106" spans="1:3">
      <c r="A106" s="3">
        <v>79</v>
      </c>
      <c r="B106" s="3">
        <v>721422.49375075393</v>
      </c>
      <c r="C106" s="3">
        <v>55499.676249246113</v>
      </c>
    </row>
    <row r="107" spans="1:3">
      <c r="A107" s="3">
        <v>80</v>
      </c>
      <c r="B107" s="3">
        <v>661598.95846660249</v>
      </c>
      <c r="C107" s="3">
        <v>-25037.618466602522</v>
      </c>
    </row>
    <row r="108" spans="1:3">
      <c r="A108" s="3">
        <v>81</v>
      </c>
      <c r="B108" s="3">
        <v>646194.24106878764</v>
      </c>
      <c r="C108" s="3">
        <v>-24824.661068787682</v>
      </c>
    </row>
    <row r="109" spans="1:3">
      <c r="A109" s="3">
        <v>82</v>
      </c>
      <c r="B109" s="3">
        <v>630691.02929615614</v>
      </c>
      <c r="C109" s="3">
        <v>51516.980703843874</v>
      </c>
    </row>
    <row r="110" spans="1:3">
      <c r="A110" s="3">
        <v>83</v>
      </c>
      <c r="B110" s="3">
        <v>643889.10016170004</v>
      </c>
      <c r="C110" s="3">
        <v>83352.759838299942</v>
      </c>
    </row>
    <row r="111" spans="1:3">
      <c r="A111" s="3">
        <v>84</v>
      </c>
      <c r="B111" s="3">
        <v>554532.91844121844</v>
      </c>
      <c r="C111" s="3">
        <v>14567.861558781588</v>
      </c>
    </row>
    <row r="112" spans="1:3">
      <c r="A112" s="3">
        <v>85</v>
      </c>
      <c r="B112" s="3">
        <v>550499.13395395537</v>
      </c>
      <c r="C112" s="3">
        <v>23937.156046044664</v>
      </c>
    </row>
    <row r="113" spans="1:3">
      <c r="A113" s="3">
        <v>86</v>
      </c>
      <c r="B113" s="3">
        <v>639281.90931111178</v>
      </c>
      <c r="C113" s="3">
        <v>-27515.189311111812</v>
      </c>
    </row>
    <row r="114" spans="1:3">
      <c r="A114" s="3">
        <v>87</v>
      </c>
      <c r="B114" s="3">
        <v>609919.52204225399</v>
      </c>
      <c r="C114" s="3">
        <v>4676.7979577459628</v>
      </c>
    </row>
    <row r="115" spans="1:3">
      <c r="A115" s="3">
        <v>88</v>
      </c>
      <c r="B115" s="3">
        <v>449350.53068910132</v>
      </c>
      <c r="C115" s="3">
        <v>1361.3893108986667</v>
      </c>
    </row>
    <row r="116" spans="1:3">
      <c r="A116" s="3">
        <v>89</v>
      </c>
      <c r="B116" s="3">
        <v>674252.67424195807</v>
      </c>
      <c r="C116" s="3">
        <v>36960.785758041893</v>
      </c>
    </row>
    <row r="117" spans="1:3">
      <c r="A117" s="3">
        <v>90</v>
      </c>
      <c r="B117" s="3">
        <v>749576.74066293577</v>
      </c>
      <c r="C117" s="3">
        <v>-122404.84066293575</v>
      </c>
    </row>
    <row r="118" spans="1:3">
      <c r="A118" s="3">
        <v>91</v>
      </c>
      <c r="B118" s="3">
        <v>714056.65990085108</v>
      </c>
      <c r="C118" s="3">
        <v>25795.920099148876</v>
      </c>
    </row>
    <row r="119" spans="1:3">
      <c r="A119" s="3">
        <v>92</v>
      </c>
      <c r="B119" s="3">
        <v>556415.72278639791</v>
      </c>
      <c r="C119" s="3">
        <v>29891.497213602066</v>
      </c>
    </row>
    <row r="120" spans="1:3">
      <c r="A120" s="3">
        <v>93</v>
      </c>
      <c r="B120" s="3">
        <v>595912.26296134666</v>
      </c>
      <c r="C120" s="3">
        <v>-9974.7829613466747</v>
      </c>
    </row>
    <row r="121" spans="1:3">
      <c r="A121" s="3">
        <v>94</v>
      </c>
      <c r="B121" s="3">
        <v>694775.77054104418</v>
      </c>
      <c r="C121" s="3">
        <v>58697.779458955862</v>
      </c>
    </row>
    <row r="122" spans="1:3">
      <c r="A122" s="3">
        <v>95</v>
      </c>
      <c r="B122" s="3">
        <v>768357.74590465322</v>
      </c>
      <c r="C122" s="3">
        <v>69892.574095346732</v>
      </c>
    </row>
    <row r="123" spans="1:3">
      <c r="A123" s="3">
        <v>96</v>
      </c>
      <c r="B123" s="3">
        <v>622397.79558101366</v>
      </c>
      <c r="C123" s="3">
        <v>-14499.675581013667</v>
      </c>
    </row>
    <row r="124" spans="1:3">
      <c r="A124" s="3">
        <v>97</v>
      </c>
      <c r="B124" s="3">
        <v>700732.10519438609</v>
      </c>
      <c r="C124" s="3">
        <v>-9618.4851943860995</v>
      </c>
    </row>
    <row r="125" spans="1:3">
      <c r="A125" s="3">
        <v>98</v>
      </c>
      <c r="B125" s="3">
        <v>664162.33312454366</v>
      </c>
      <c r="C125" s="3">
        <v>71347.066875456367</v>
      </c>
    </row>
    <row r="126" spans="1:3">
      <c r="A126" s="3">
        <v>99</v>
      </c>
      <c r="B126" s="3">
        <v>614136.95353837358</v>
      </c>
      <c r="C126" s="3">
        <v>-8361.6235383736202</v>
      </c>
    </row>
    <row r="127" spans="1:3">
      <c r="A127" s="3">
        <v>100</v>
      </c>
      <c r="B127" s="3">
        <v>656278.39757856703</v>
      </c>
      <c r="C127" s="3">
        <v>18899.282421433018</v>
      </c>
    </row>
    <row r="128" spans="1:3">
      <c r="A128" s="3">
        <v>101</v>
      </c>
      <c r="B128" s="3">
        <v>600049.7330733682</v>
      </c>
      <c r="C128" s="3">
        <v>35131.616926631774</v>
      </c>
    </row>
    <row r="129" spans="1:3">
      <c r="A129" s="3">
        <v>102</v>
      </c>
      <c r="B129" s="3">
        <v>633354.58638078999</v>
      </c>
      <c r="C129" s="3">
        <v>-46727.646380790044</v>
      </c>
    </row>
    <row r="130" spans="1:3">
      <c r="A130" s="3">
        <v>103</v>
      </c>
      <c r="B130" s="3">
        <v>718021.96104835439</v>
      </c>
      <c r="C130" s="3">
        <v>22080.678951645619</v>
      </c>
    </row>
    <row r="131" spans="1:3">
      <c r="A131" s="3">
        <v>104</v>
      </c>
      <c r="B131" s="3">
        <v>536502.95235631941</v>
      </c>
      <c r="C131" s="3">
        <v>89011.087643680628</v>
      </c>
    </row>
    <row r="132" spans="1:3">
      <c r="A132" s="3">
        <v>105</v>
      </c>
      <c r="B132" s="3">
        <v>688096.30195685499</v>
      </c>
      <c r="C132" s="3">
        <v>39130.89804314496</v>
      </c>
    </row>
    <row r="133" spans="1:3">
      <c r="A133" s="3">
        <v>106</v>
      </c>
      <c r="B133" s="3">
        <v>781930.905338782</v>
      </c>
      <c r="C133" s="3">
        <v>1866.9846612180118</v>
      </c>
    </row>
    <row r="134" spans="1:3">
      <c r="A134" s="3">
        <v>107</v>
      </c>
      <c r="B134" s="3">
        <v>717942.42011132347</v>
      </c>
      <c r="C134" s="3">
        <v>77211.419888676493</v>
      </c>
    </row>
    <row r="135" spans="1:3">
      <c r="A135" s="3">
        <v>108</v>
      </c>
      <c r="B135" s="3">
        <v>661673.75919390237</v>
      </c>
      <c r="C135" s="3">
        <v>3921.1808060975745</v>
      </c>
    </row>
    <row r="136" spans="1:3">
      <c r="A136" s="3">
        <v>109</v>
      </c>
      <c r="B136" s="3">
        <v>685475.99534466118</v>
      </c>
      <c r="C136" s="3">
        <v>24002.394655338838</v>
      </c>
    </row>
    <row r="137" spans="1:3">
      <c r="A137" s="3">
        <v>110</v>
      </c>
      <c r="B137" s="3">
        <v>666732.34203178773</v>
      </c>
      <c r="C137" s="3">
        <v>-2569.852031787741</v>
      </c>
    </row>
    <row r="138" spans="1:3">
      <c r="A138" s="3">
        <v>111</v>
      </c>
      <c r="B138" s="3">
        <v>661864.07517325215</v>
      </c>
      <c r="C138" s="3">
        <v>-28369.865173252183</v>
      </c>
    </row>
    <row r="139" spans="1:3">
      <c r="A139" s="3">
        <v>112</v>
      </c>
      <c r="B139" s="3">
        <v>614705.40886911401</v>
      </c>
      <c r="C139" s="3">
        <v>98905.751130886027</v>
      </c>
    </row>
    <row r="140" spans="1:3">
      <c r="A140" s="3">
        <v>113</v>
      </c>
      <c r="B140" s="3">
        <v>743912.47039265058</v>
      </c>
      <c r="C140" s="3">
        <v>34485.499607349397</v>
      </c>
    </row>
    <row r="141" spans="1:3">
      <c r="A141" s="3">
        <v>114</v>
      </c>
      <c r="B141" s="3">
        <v>836858.05781189003</v>
      </c>
      <c r="C141" s="3">
        <v>36521.962188109988</v>
      </c>
    </row>
    <row r="142" spans="1:3">
      <c r="A142" s="3">
        <v>115</v>
      </c>
      <c r="B142" s="3">
        <v>755839.06476272945</v>
      </c>
      <c r="C142" s="3">
        <v>-58551.16476272943</v>
      </c>
    </row>
    <row r="143" spans="1:3">
      <c r="A143" s="3">
        <v>116</v>
      </c>
      <c r="B143" s="3">
        <v>759961.96117959823</v>
      </c>
      <c r="C143" s="3">
        <v>-41887.171179598197</v>
      </c>
    </row>
    <row r="144" spans="1:3">
      <c r="A144" s="3">
        <v>117</v>
      </c>
      <c r="B144" s="3">
        <v>712403.95817868435</v>
      </c>
      <c r="C144" s="3">
        <v>2538.471821315703</v>
      </c>
    </row>
    <row r="145" spans="1:3">
      <c r="A145" s="3">
        <v>118</v>
      </c>
      <c r="B145" s="3">
        <v>728422.71685700165</v>
      </c>
      <c r="C145" s="3">
        <v>92096.323142998386</v>
      </c>
    </row>
    <row r="146" spans="1:3">
      <c r="A146" s="3">
        <v>119</v>
      </c>
      <c r="B146" s="3">
        <v>751438.32502928912</v>
      </c>
      <c r="C146" s="3">
        <v>-67221.005029289168</v>
      </c>
    </row>
    <row r="147" spans="1:3">
      <c r="A147" s="3">
        <v>120</v>
      </c>
      <c r="B147" s="3">
        <v>739476.88507272641</v>
      </c>
      <c r="C147" s="3">
        <v>-3996.695072726463</v>
      </c>
    </row>
    <row r="148" spans="1:3">
      <c r="A148" s="3">
        <v>121</v>
      </c>
      <c r="B148" s="3">
        <v>555476.651448705</v>
      </c>
      <c r="C148" s="3">
        <v>-45991.841448705003</v>
      </c>
    </row>
    <row r="149" spans="1:3">
      <c r="A149" s="3">
        <v>122</v>
      </c>
      <c r="B149" s="3">
        <v>615083.46637260774</v>
      </c>
      <c r="C149" s="3">
        <v>39233.623627392226</v>
      </c>
    </row>
    <row r="150" spans="1:3">
      <c r="A150" s="3">
        <v>123</v>
      </c>
      <c r="B150" s="3">
        <v>587952.78491068142</v>
      </c>
      <c r="C150" s="3">
        <v>-30465.524910681415</v>
      </c>
    </row>
    <row r="151" spans="1:3">
      <c r="A151" s="3">
        <v>124</v>
      </c>
      <c r="B151" s="3">
        <v>505149.87835037307</v>
      </c>
      <c r="C151" s="3">
        <v>-63874.458350373083</v>
      </c>
    </row>
    <row r="152" spans="1:3">
      <c r="A152" s="3">
        <v>125</v>
      </c>
      <c r="B152" s="3">
        <v>811167.85225116368</v>
      </c>
      <c r="C152" s="3">
        <v>103376.31774883636</v>
      </c>
    </row>
    <row r="153" spans="1:3">
      <c r="A153" s="3">
        <v>126</v>
      </c>
      <c r="B153" s="3">
        <v>844780.52441563201</v>
      </c>
      <c r="C153" s="3">
        <v>-2340.8544156319695</v>
      </c>
    </row>
    <row r="154" spans="1:3">
      <c r="A154" s="3">
        <v>127</v>
      </c>
      <c r="B154" s="3">
        <v>777968.6141670011</v>
      </c>
      <c r="C154" s="3">
        <v>64189.305832998944</v>
      </c>
    </row>
    <row r="155" spans="1:3">
      <c r="A155" s="3">
        <v>128</v>
      </c>
      <c r="B155" s="3">
        <v>690633.28046122589</v>
      </c>
      <c r="C155" s="3">
        <v>6522.0195387741551</v>
      </c>
    </row>
    <row r="156" spans="1:3">
      <c r="A156" s="3">
        <v>129</v>
      </c>
      <c r="B156" s="3">
        <v>824738.10112559865</v>
      </c>
      <c r="C156" s="3">
        <v>24280.198874401394</v>
      </c>
    </row>
    <row r="157" spans="1:3">
      <c r="A157" s="3">
        <v>130</v>
      </c>
      <c r="B157" s="3">
        <v>805342.08093639452</v>
      </c>
      <c r="C157" s="3">
        <v>-3511.7309363945387</v>
      </c>
    </row>
    <row r="158" spans="1:3">
      <c r="A158" s="3">
        <v>131</v>
      </c>
      <c r="B158" s="3">
        <v>789419.21724732593</v>
      </c>
      <c r="C158" s="3">
        <v>-64183.937247325899</v>
      </c>
    </row>
    <row r="159" spans="1:3">
      <c r="A159" s="3">
        <v>132</v>
      </c>
      <c r="B159" s="3">
        <v>822454.46242299629</v>
      </c>
      <c r="C159" s="3">
        <v>-11001.742422996322</v>
      </c>
    </row>
    <row r="160" spans="1:3">
      <c r="A160" s="3">
        <v>133</v>
      </c>
      <c r="B160" s="3">
        <v>573783.83693743893</v>
      </c>
      <c r="C160" s="3">
        <v>-46483.706937438925</v>
      </c>
    </row>
    <row r="161" spans="1:3">
      <c r="A161" s="3">
        <v>134</v>
      </c>
      <c r="B161" s="3">
        <v>455747.68223519711</v>
      </c>
      <c r="C161" s="3">
        <v>-54916.032235197083</v>
      </c>
    </row>
    <row r="162" spans="1:3">
      <c r="A162" s="3">
        <v>135</v>
      </c>
      <c r="B162" s="3">
        <v>595007.36977158953</v>
      </c>
      <c r="C162" s="3">
        <v>-1760.119771589525</v>
      </c>
    </row>
    <row r="163" spans="1:3">
      <c r="A163" s="3">
        <v>136</v>
      </c>
      <c r="B163" s="3">
        <v>543277.95675479877</v>
      </c>
      <c r="C163" s="3">
        <v>-14202.006754798815</v>
      </c>
    </row>
    <row r="164" spans="1:3">
      <c r="A164" s="3">
        <v>137</v>
      </c>
      <c r="B164" s="3">
        <v>708526.2807993521</v>
      </c>
      <c r="C164" s="3">
        <v>-74888.25079935207</v>
      </c>
    </row>
    <row r="165" spans="1:3">
      <c r="A165" s="3">
        <v>138</v>
      </c>
      <c r="B165" s="3">
        <v>712046.03818505432</v>
      </c>
      <c r="C165" s="3">
        <v>31302.801814945647</v>
      </c>
    </row>
    <row r="166" spans="1:3">
      <c r="A166" s="3">
        <v>139</v>
      </c>
      <c r="B166" s="3">
        <v>697677.94221060083</v>
      </c>
      <c r="C166" s="3">
        <v>61149.697789399186</v>
      </c>
    </row>
    <row r="167" spans="1:3">
      <c r="A167" s="3">
        <v>140</v>
      </c>
      <c r="B167" s="3">
        <v>630889.06619741139</v>
      </c>
      <c r="C167" s="3">
        <v>15670.643802588573</v>
      </c>
    </row>
    <row r="168" spans="1:3">
      <c r="A168" s="3">
        <v>141</v>
      </c>
      <c r="B168" s="3">
        <v>668079.78944148927</v>
      </c>
      <c r="C168" s="3">
        <v>47810.740558510763</v>
      </c>
    </row>
    <row r="169" spans="1:3">
      <c r="A169" s="3">
        <v>142</v>
      </c>
      <c r="B169" s="3">
        <v>686795.86514254031</v>
      </c>
      <c r="C169" s="3">
        <v>28301.704857459641</v>
      </c>
    </row>
    <row r="170" spans="1:3">
      <c r="A170" s="3">
        <v>143</v>
      </c>
      <c r="B170" s="3">
        <v>632252.13026528072</v>
      </c>
      <c r="C170" s="3">
        <v>50387.149734719307</v>
      </c>
    </row>
    <row r="171" spans="1:3">
      <c r="A171" s="3">
        <v>144</v>
      </c>
      <c r="B171" s="3">
        <v>670799.2227521626</v>
      </c>
      <c r="C171" s="3">
        <v>24299.287247837405</v>
      </c>
    </row>
    <row r="172" spans="1:3">
      <c r="A172" s="3">
        <v>145</v>
      </c>
      <c r="B172" s="3">
        <v>623526.44914492988</v>
      </c>
      <c r="C172" s="3">
        <v>-45793.879144929931</v>
      </c>
    </row>
    <row r="173" spans="1:3">
      <c r="A173" s="3">
        <v>146</v>
      </c>
      <c r="B173" s="3">
        <v>572070.91629182291</v>
      </c>
      <c r="C173" s="3">
        <v>-35012.586291822954</v>
      </c>
    </row>
    <row r="174" spans="1:3">
      <c r="A174" s="3">
        <v>147</v>
      </c>
      <c r="B174" s="3">
        <v>612120.18135274248</v>
      </c>
      <c r="C174" s="3">
        <v>-10551.311352742487</v>
      </c>
    </row>
    <row r="175" spans="1:3">
      <c r="A175" s="3">
        <v>148</v>
      </c>
      <c r="B175" s="3">
        <v>576915.47617916483</v>
      </c>
      <c r="C175" s="3">
        <v>-5950.6361791648669</v>
      </c>
    </row>
    <row r="176" spans="1:3">
      <c r="A176" s="3">
        <v>149</v>
      </c>
      <c r="B176" s="3">
        <v>645108.03822021722</v>
      </c>
      <c r="C176" s="3">
        <v>-31083.128220217186</v>
      </c>
    </row>
    <row r="177" spans="1:3">
      <c r="A177" s="3">
        <v>150</v>
      </c>
      <c r="B177" s="3">
        <v>709017.8167052404</v>
      </c>
      <c r="C177" s="3">
        <v>3850.5332947595743</v>
      </c>
    </row>
    <row r="178" spans="1:3">
      <c r="A178" s="3">
        <v>151</v>
      </c>
      <c r="B178" s="3">
        <v>667873.27129355876</v>
      </c>
      <c r="C178" s="3">
        <v>28870.878706441261</v>
      </c>
    </row>
    <row r="179" spans="1:3">
      <c r="A179" s="3">
        <v>152</v>
      </c>
      <c r="B179" s="3">
        <v>706912.45020334271</v>
      </c>
      <c r="C179" s="3">
        <v>18935.539796657278</v>
      </c>
    </row>
    <row r="180" spans="1:3">
      <c r="A180" s="3">
        <v>153</v>
      </c>
      <c r="B180" s="3">
        <v>801342.55832272035</v>
      </c>
      <c r="C180" s="3">
        <v>-16314.308322720346</v>
      </c>
    </row>
    <row r="181" spans="1:3">
      <c r="A181" s="3">
        <v>154</v>
      </c>
      <c r="B181" s="3">
        <v>688383.80571376276</v>
      </c>
      <c r="C181" s="3">
        <v>10108.86428623728</v>
      </c>
    </row>
    <row r="182" spans="1:3">
      <c r="A182" s="3">
        <v>155</v>
      </c>
      <c r="B182" s="3">
        <v>729145.92502360791</v>
      </c>
      <c r="C182" s="3">
        <v>-43315.685023607919</v>
      </c>
    </row>
    <row r="183" spans="1:3">
      <c r="A183" s="3">
        <v>156</v>
      </c>
      <c r="B183" s="3">
        <v>704262.23928248975</v>
      </c>
      <c r="C183" s="3">
        <v>-1943.2992824898101</v>
      </c>
    </row>
    <row r="184" spans="1:3">
      <c r="A184" s="3">
        <v>157</v>
      </c>
      <c r="B184" s="3">
        <v>714591.78436020832</v>
      </c>
      <c r="C184" s="3">
        <v>-14513.464360208367</v>
      </c>
    </row>
    <row r="185" spans="1:3">
      <c r="A185" s="3">
        <v>158</v>
      </c>
      <c r="B185" s="3">
        <v>646562.27258420829</v>
      </c>
      <c r="C185" s="3">
        <v>-44559.952584208339</v>
      </c>
    </row>
    <row r="186" spans="1:3">
      <c r="A186" s="3">
        <v>159</v>
      </c>
      <c r="B186" s="3">
        <v>666525.66688099841</v>
      </c>
      <c r="C186" s="3">
        <v>57690.403119001538</v>
      </c>
    </row>
    <row r="187" spans="1:3">
      <c r="A187" s="3">
        <v>160</v>
      </c>
      <c r="B187" s="3">
        <v>576774.16012235242</v>
      </c>
      <c r="C187" s="3">
        <v>44198.869877647609</v>
      </c>
    </row>
    <row r="188" spans="1:3">
      <c r="A188" s="3">
        <v>161</v>
      </c>
      <c r="B188" s="3">
        <v>694797.30302758492</v>
      </c>
      <c r="C188" s="3">
        <v>-44317.24302758486</v>
      </c>
    </row>
    <row r="189" spans="1:3">
      <c r="A189" s="3">
        <v>162</v>
      </c>
      <c r="B189" s="3">
        <v>690121.94047922373</v>
      </c>
      <c r="C189" s="3">
        <v>88176.939520776272</v>
      </c>
    </row>
    <row r="190" spans="1:3">
      <c r="A190" s="3">
        <v>163</v>
      </c>
      <c r="B190" s="3">
        <v>680548.33901322994</v>
      </c>
      <c r="C190" s="3">
        <v>-3451.6290132299764</v>
      </c>
    </row>
    <row r="191" spans="1:3">
      <c r="A191" s="3">
        <v>164</v>
      </c>
      <c r="B191" s="3">
        <v>688586.93751216424</v>
      </c>
      <c r="C191" s="3">
        <v>3421.702487835777</v>
      </c>
    </row>
    <row r="192" spans="1:3">
      <c r="A192" s="3">
        <v>165</v>
      </c>
      <c r="B192" s="3">
        <v>787862.76794416108</v>
      </c>
      <c r="C192" s="3">
        <v>37935.142055838951</v>
      </c>
    </row>
    <row r="193" spans="1:3">
      <c r="A193" s="3">
        <v>166</v>
      </c>
      <c r="B193" s="3">
        <v>736317.39310951182</v>
      </c>
      <c r="C193" s="3">
        <v>-30031.873109511798</v>
      </c>
    </row>
    <row r="194" spans="1:3">
      <c r="A194" s="3">
        <v>167</v>
      </c>
      <c r="B194" s="3">
        <v>680843.86122078192</v>
      </c>
      <c r="C194" s="3">
        <v>-15309.161220781971</v>
      </c>
    </row>
    <row r="195" spans="1:3">
      <c r="A195" s="3">
        <v>168</v>
      </c>
      <c r="B195" s="3">
        <v>817950.17525495507</v>
      </c>
      <c r="C195" s="3">
        <v>2779.1147450449644</v>
      </c>
    </row>
    <row r="196" spans="1:3">
      <c r="A196" s="3">
        <v>169</v>
      </c>
      <c r="B196" s="3">
        <v>774457.17987961904</v>
      </c>
      <c r="C196" s="3">
        <v>-34625.44987961906</v>
      </c>
    </row>
    <row r="197" spans="1:3">
      <c r="A197" s="3">
        <v>170</v>
      </c>
      <c r="B197" s="3">
        <v>670874.78896276897</v>
      </c>
      <c r="C197" s="3">
        <v>-77237.648962768959</v>
      </c>
    </row>
    <row r="198" spans="1:3">
      <c r="A198" s="3">
        <v>171</v>
      </c>
      <c r="B198" s="3">
        <v>739860.48950555013</v>
      </c>
      <c r="C198" s="3">
        <v>29842.270494449884</v>
      </c>
    </row>
    <row r="199" spans="1:3">
      <c r="A199" s="3">
        <v>172</v>
      </c>
      <c r="B199" s="3">
        <v>695493.45205041766</v>
      </c>
      <c r="C199" s="3">
        <v>-15761.882050417713</v>
      </c>
    </row>
    <row r="200" spans="1:3">
      <c r="A200" s="3">
        <v>173</v>
      </c>
      <c r="B200" s="3">
        <v>778698.88396872173</v>
      </c>
      <c r="C200" s="3">
        <v>1645.2960312783252</v>
      </c>
    </row>
    <row r="201" spans="1:3">
      <c r="A201" s="3">
        <v>174</v>
      </c>
      <c r="B201" s="3">
        <v>762122.53563210554</v>
      </c>
      <c r="C201" s="3">
        <v>-40758.425632105558</v>
      </c>
    </row>
    <row r="202" spans="1:3">
      <c r="A202" s="3">
        <v>175</v>
      </c>
      <c r="B202" s="3">
        <v>787097.44663731242</v>
      </c>
      <c r="C202" s="3">
        <v>-28959.156637312379</v>
      </c>
    </row>
    <row r="203" spans="1:3">
      <c r="A203" s="3">
        <v>176</v>
      </c>
      <c r="B203" s="3">
        <v>830437.25743529748</v>
      </c>
      <c r="C203" s="3">
        <v>-26173.257435297477</v>
      </c>
    </row>
    <row r="204" spans="1:3">
      <c r="A204" s="3">
        <v>177</v>
      </c>
      <c r="B204" s="3">
        <v>849835.01054250752</v>
      </c>
      <c r="C204" s="3">
        <v>37702.739457492484</v>
      </c>
    </row>
    <row r="205" spans="1:3">
      <c r="A205" s="3">
        <v>178</v>
      </c>
      <c r="B205" s="3">
        <v>698856.15318475105</v>
      </c>
      <c r="C205" s="3">
        <v>84725.846815248951</v>
      </c>
    </row>
    <row r="206" spans="1:3">
      <c r="A206" s="3">
        <v>179</v>
      </c>
      <c r="B206" s="3">
        <v>730824.7883406434</v>
      </c>
      <c r="C206" s="3">
        <v>51130.731659356621</v>
      </c>
    </row>
    <row r="207" spans="1:3">
      <c r="A207" s="3">
        <v>180</v>
      </c>
      <c r="B207" s="3">
        <v>817931.29257459473</v>
      </c>
      <c r="C207" s="3">
        <v>80099.747425405309</v>
      </c>
    </row>
    <row r="208" spans="1:3">
      <c r="A208" s="3">
        <v>181</v>
      </c>
      <c r="B208" s="3">
        <v>848651.23442111805</v>
      </c>
      <c r="C208" s="3">
        <v>6690.0455788819818</v>
      </c>
    </row>
    <row r="209" spans="1:3">
      <c r="A209" s="3">
        <v>182</v>
      </c>
      <c r="B209" s="3">
        <v>749711.06895885384</v>
      </c>
      <c r="C209" s="3">
        <v>1682.8110411461676</v>
      </c>
    </row>
    <row r="210" spans="1:3">
      <c r="A210" s="3">
        <v>183</v>
      </c>
      <c r="B210" s="3">
        <v>759548.91737835563</v>
      </c>
      <c r="C210" s="3">
        <v>1528.1626216443256</v>
      </c>
    </row>
    <row r="211" spans="1:3">
      <c r="A211" s="3">
        <v>184</v>
      </c>
      <c r="B211" s="3">
        <v>824518.73609123321</v>
      </c>
      <c r="C211" s="3">
        <v>-4858.1460912332404</v>
      </c>
    </row>
    <row r="212" spans="1:3">
      <c r="A212" s="3">
        <v>185</v>
      </c>
      <c r="B212" s="3">
        <v>695201.88265572628</v>
      </c>
      <c r="C212" s="3">
        <v>-13346.322655726224</v>
      </c>
    </row>
    <row r="213" spans="1:3">
      <c r="A213" s="3">
        <v>186</v>
      </c>
      <c r="B213" s="3">
        <v>655296.62182884198</v>
      </c>
      <c r="C213" s="3">
        <v>23014.548171158065</v>
      </c>
    </row>
    <row r="214" spans="1:3">
      <c r="A214" s="3">
        <v>187</v>
      </c>
      <c r="B214" s="3">
        <v>697527.22703530057</v>
      </c>
      <c r="C214" s="3">
        <v>68379.72296469938</v>
      </c>
    </row>
    <row r="215" spans="1:3">
      <c r="A215" s="3">
        <v>188</v>
      </c>
      <c r="B215" s="3">
        <v>702170.05567344441</v>
      </c>
      <c r="C215" s="3">
        <v>10376.324326555594</v>
      </c>
    </row>
    <row r="216" spans="1:3">
      <c r="A216" s="3">
        <v>189</v>
      </c>
      <c r="B216" s="3">
        <v>586461.15828822448</v>
      </c>
      <c r="C216" s="3">
        <v>39532.671711775474</v>
      </c>
    </row>
    <row r="217" spans="1:3">
      <c r="A217" s="3">
        <v>190</v>
      </c>
      <c r="B217" s="3">
        <v>542404.63068913948</v>
      </c>
      <c r="C217" s="3">
        <v>8558.2993108605733</v>
      </c>
    </row>
    <row r="218" spans="1:3">
      <c r="A218" s="3">
        <v>191</v>
      </c>
      <c r="B218" s="3">
        <v>464668.35628460872</v>
      </c>
      <c r="C218" s="3">
        <v>-21392.76628460869</v>
      </c>
    </row>
    <row r="219" spans="1:3">
      <c r="A219" s="3">
        <v>192</v>
      </c>
      <c r="B219" s="3">
        <v>604599.92731171637</v>
      </c>
      <c r="C219" s="3">
        <v>-50587.85731171642</v>
      </c>
    </row>
    <row r="220" spans="1:3">
      <c r="A220" s="3">
        <v>193</v>
      </c>
      <c r="B220" s="3">
        <v>692560.54630933143</v>
      </c>
      <c r="C220" s="3">
        <v>-49131.696309331455</v>
      </c>
    </row>
    <row r="221" spans="1:3">
      <c r="A221" s="3">
        <v>194</v>
      </c>
      <c r="B221" s="3">
        <v>623937.14415913634</v>
      </c>
      <c r="C221" s="3">
        <v>-12012.874159136321</v>
      </c>
    </row>
    <row r="222" spans="1:3">
      <c r="A222" s="3">
        <v>195</v>
      </c>
      <c r="B222" s="3">
        <v>559562.61469031486</v>
      </c>
      <c r="C222" s="3">
        <v>-140.59469031484332</v>
      </c>
    </row>
    <row r="223" spans="1:3">
      <c r="A223" s="3">
        <v>196</v>
      </c>
      <c r="B223" s="3">
        <v>535896.22695695376</v>
      </c>
      <c r="C223" s="3">
        <v>-86431.166956953763</v>
      </c>
    </row>
    <row r="224" spans="1:3">
      <c r="A224" s="3">
        <v>197</v>
      </c>
      <c r="B224" s="3">
        <v>645437.55172984232</v>
      </c>
      <c r="C224" s="3">
        <v>46009.878270157729</v>
      </c>
    </row>
    <row r="225" spans="1:3">
      <c r="A225" s="3">
        <v>198</v>
      </c>
      <c r="B225" s="3">
        <v>607226.60510191962</v>
      </c>
      <c r="C225" s="3">
        <v>-33159.995101919631</v>
      </c>
    </row>
    <row r="226" spans="1:3">
      <c r="A226" s="3">
        <v>199</v>
      </c>
      <c r="B226" s="3">
        <v>615759.57219234132</v>
      </c>
      <c r="C226" s="3">
        <v>-36809.732192341355</v>
      </c>
    </row>
    <row r="227" spans="1:3">
      <c r="A227" s="3">
        <v>200</v>
      </c>
      <c r="B227" s="3">
        <v>654705.36397770536</v>
      </c>
      <c r="C227" s="3">
        <v>81081.276022294653</v>
      </c>
    </row>
    <row r="228" spans="1:3">
      <c r="A228" s="3">
        <v>201</v>
      </c>
      <c r="B228" s="3">
        <v>604394.33128189028</v>
      </c>
      <c r="C228" s="3">
        <v>-5489.4312818902545</v>
      </c>
    </row>
    <row r="229" spans="1:3">
      <c r="A229" s="3">
        <v>202</v>
      </c>
      <c r="B229" s="3">
        <v>683430.47132614243</v>
      </c>
      <c r="C229" s="3">
        <v>104285.03867385758</v>
      </c>
    </row>
    <row r="230" spans="1:3">
      <c r="A230" s="3">
        <v>203</v>
      </c>
      <c r="B230" s="3">
        <v>640957.47467596689</v>
      </c>
      <c r="C230" s="3">
        <v>-33872.55467596685</v>
      </c>
    </row>
    <row r="231" spans="1:3">
      <c r="A231" s="3">
        <v>204</v>
      </c>
      <c r="B231" s="3">
        <v>668784.27756018844</v>
      </c>
      <c r="C231" s="3">
        <v>-17988.787560188444</v>
      </c>
    </row>
    <row r="232" spans="1:3">
      <c r="A232" s="3">
        <v>205</v>
      </c>
      <c r="B232" s="3">
        <v>850374.70928851026</v>
      </c>
      <c r="C232" s="3">
        <v>-25314.189288510242</v>
      </c>
    </row>
    <row r="233" spans="1:3">
      <c r="A233" s="3">
        <v>206</v>
      </c>
      <c r="B233" s="3">
        <v>751735.10106563754</v>
      </c>
      <c r="C233" s="3">
        <v>43729.368934362428</v>
      </c>
    </row>
    <row r="234" spans="1:3">
      <c r="A234" s="3">
        <v>207</v>
      </c>
      <c r="B234" s="3">
        <v>747397.82829651074</v>
      </c>
      <c r="C234" s="3">
        <v>-75529.238296510768</v>
      </c>
    </row>
    <row r="235" spans="1:3">
      <c r="A235" s="3">
        <v>208</v>
      </c>
      <c r="B235" s="3">
        <v>767096.02048502665</v>
      </c>
      <c r="C235" s="3">
        <v>-91178.390485026641</v>
      </c>
    </row>
    <row r="236" spans="1:3">
      <c r="A236" s="3">
        <v>209</v>
      </c>
      <c r="B236" s="3">
        <v>801025.30368185136</v>
      </c>
      <c r="C236" s="3">
        <v>9421.2263181486633</v>
      </c>
    </row>
    <row r="237" spans="1:3">
      <c r="A237" s="3">
        <v>210</v>
      </c>
      <c r="B237" s="3">
        <v>771757.01188828202</v>
      </c>
      <c r="C237" s="3">
        <v>-80468.82188828208</v>
      </c>
    </row>
    <row r="238" spans="1:3">
      <c r="A238" s="3">
        <v>211</v>
      </c>
      <c r="B238" s="3">
        <v>959399.89970886963</v>
      </c>
      <c r="C238" s="3">
        <v>-12566.359708869597</v>
      </c>
    </row>
    <row r="239" spans="1:3">
      <c r="A239" s="3">
        <v>212</v>
      </c>
      <c r="B239" s="3">
        <v>772037.72511656117</v>
      </c>
      <c r="C239" s="3">
        <v>-10074.495116561186</v>
      </c>
    </row>
    <row r="240" spans="1:3">
      <c r="A240" s="3">
        <v>213</v>
      </c>
      <c r="B240" s="3">
        <v>773532.44801269239</v>
      </c>
      <c r="C240" s="3">
        <v>38620.151987307589</v>
      </c>
    </row>
    <row r="241" spans="1:3">
      <c r="A241" s="3">
        <v>214</v>
      </c>
      <c r="B241" s="3">
        <v>763667.13766024564</v>
      </c>
      <c r="C241" s="3">
        <v>41308.362339754356</v>
      </c>
    </row>
    <row r="242" spans="1:3">
      <c r="A242" s="3">
        <v>215</v>
      </c>
      <c r="B242" s="3">
        <v>754869.04413768812</v>
      </c>
      <c r="C242" s="3">
        <v>-2547.3241376881488</v>
      </c>
    </row>
    <row r="243" spans="1:3">
      <c r="A243" s="3">
        <v>216</v>
      </c>
      <c r="B243" s="3">
        <v>823306.48725054204</v>
      </c>
      <c r="C243" s="3">
        <v>13601.752749457955</v>
      </c>
    </row>
    <row r="244" spans="1:3">
      <c r="A244" s="3">
        <v>217</v>
      </c>
      <c r="B244" s="3">
        <v>636559.75668186857</v>
      </c>
      <c r="C244" s="3">
        <v>37729.343318131403</v>
      </c>
    </row>
    <row r="245" spans="1:3">
      <c r="A245" s="3">
        <v>218</v>
      </c>
      <c r="B245" s="3">
        <v>616594.77824726142</v>
      </c>
      <c r="C245" s="3">
        <v>6297.641752738622</v>
      </c>
    </row>
    <row r="246" spans="1:3">
      <c r="A246" s="3">
        <v>219</v>
      </c>
      <c r="B246" s="3">
        <v>616519.26069390553</v>
      </c>
      <c r="C246" s="3">
        <v>56829.29930609453</v>
      </c>
    </row>
    <row r="247" spans="1:3">
      <c r="A247" s="3">
        <v>220</v>
      </c>
      <c r="B247" s="3">
        <v>589544.27436705283</v>
      </c>
      <c r="C247" s="3">
        <v>16734.025632947218</v>
      </c>
    </row>
    <row r="248" spans="1:3">
      <c r="A248" s="3">
        <v>221</v>
      </c>
      <c r="B248" s="3">
        <v>704745.61760166101</v>
      </c>
      <c r="C248" s="3">
        <v>7474.1923983390443</v>
      </c>
    </row>
    <row r="249" spans="1:3">
      <c r="A249" s="3">
        <v>222</v>
      </c>
      <c r="B249" s="3">
        <v>676694.33463122486</v>
      </c>
      <c r="C249" s="3">
        <v>-4023.7946312248241</v>
      </c>
    </row>
    <row r="250" spans="1:3">
      <c r="A250" s="3">
        <v>223</v>
      </c>
      <c r="B250" s="3">
        <v>739858.13812017837</v>
      </c>
      <c r="C250" s="3">
        <v>-7190.2181201783242</v>
      </c>
    </row>
    <row r="251" spans="1:3">
      <c r="A251" s="3">
        <v>224</v>
      </c>
      <c r="B251" s="3">
        <v>759657.43381848489</v>
      </c>
      <c r="C251" s="3">
        <v>-36126.033818484866</v>
      </c>
    </row>
    <row r="252" spans="1:3">
      <c r="A252" s="3">
        <v>225</v>
      </c>
      <c r="B252" s="3">
        <v>627486.13826345035</v>
      </c>
      <c r="C252" s="3">
        <v>14078.461736549623</v>
      </c>
    </row>
    <row r="253" spans="1:3">
      <c r="A253" s="3">
        <v>226</v>
      </c>
      <c r="B253" s="3">
        <v>542513.66368048242</v>
      </c>
      <c r="C253" s="3">
        <v>-5968.1736804824322</v>
      </c>
    </row>
    <row r="254" spans="1:3">
      <c r="A254" s="3">
        <v>227</v>
      </c>
      <c r="B254" s="3">
        <v>571415.83080103248</v>
      </c>
      <c r="C254" s="3">
        <v>-43734.270801032428</v>
      </c>
    </row>
    <row r="255" spans="1:3">
      <c r="A255" s="3">
        <v>228</v>
      </c>
      <c r="B255" s="3">
        <v>518538.55174941401</v>
      </c>
      <c r="C255" s="3">
        <v>11060.388250585936</v>
      </c>
    </row>
    <row r="256" spans="1:3">
      <c r="A256" s="3">
        <v>229</v>
      </c>
      <c r="B256" s="3">
        <v>627115.66019496438</v>
      </c>
      <c r="C256" s="3">
        <v>-56152.350194964325</v>
      </c>
    </row>
    <row r="257" spans="1:3">
      <c r="A257" s="3">
        <v>230</v>
      </c>
      <c r="B257" s="3">
        <v>818420.70140627411</v>
      </c>
      <c r="C257" s="3">
        <v>52516.698593725916</v>
      </c>
    </row>
    <row r="258" spans="1:3">
      <c r="A258" s="3">
        <v>231</v>
      </c>
      <c r="B258" s="3">
        <v>637532.05723424163</v>
      </c>
      <c r="C258" s="3">
        <v>-40562.787234241609</v>
      </c>
    </row>
    <row r="259" spans="1:3">
      <c r="A259" s="3">
        <v>232</v>
      </c>
      <c r="B259" s="3">
        <v>625191.72316503851</v>
      </c>
      <c r="C259" s="3">
        <v>22321.126834961469</v>
      </c>
    </row>
    <row r="260" spans="1:3">
      <c r="A260" s="3">
        <v>233</v>
      </c>
      <c r="B260" s="3">
        <v>609906.99195025361</v>
      </c>
      <c r="C260" s="3">
        <v>48165.148049746407</v>
      </c>
    </row>
    <row r="261" spans="1:3">
      <c r="A261" s="3">
        <v>234</v>
      </c>
      <c r="B261" s="3">
        <v>644088.49204268202</v>
      </c>
      <c r="C261" s="3">
        <v>79216.617957317969</v>
      </c>
    </row>
    <row r="262" spans="1:3">
      <c r="A262" s="3">
        <v>235</v>
      </c>
      <c r="B262" s="3">
        <v>626614.92580569454</v>
      </c>
      <c r="C262" s="3">
        <v>14051.604194305488</v>
      </c>
    </row>
    <row r="263" spans="1:3">
      <c r="A263" s="3">
        <v>236</v>
      </c>
      <c r="B263" s="3">
        <v>665475.50254032318</v>
      </c>
      <c r="C263" s="3">
        <v>5153.9774596767966</v>
      </c>
    </row>
    <row r="264" spans="1:3">
      <c r="A264" s="3">
        <v>237</v>
      </c>
      <c r="B264" s="3">
        <v>796864.92248285073</v>
      </c>
      <c r="C264" s="3">
        <v>-75785.572482850752</v>
      </c>
    </row>
    <row r="265" spans="1:3">
      <c r="A265" s="3">
        <v>238</v>
      </c>
      <c r="B265" s="3">
        <v>829923.4461803427</v>
      </c>
      <c r="C265" s="3">
        <v>-19568.426180342678</v>
      </c>
    </row>
    <row r="266" spans="1:3">
      <c r="A266" s="3">
        <v>239</v>
      </c>
      <c r="B266" s="3">
        <v>779295.22339961701</v>
      </c>
      <c r="C266" s="3">
        <v>-17375.973399617011</v>
      </c>
    </row>
    <row r="267" spans="1:3">
      <c r="A267" s="3">
        <v>240</v>
      </c>
      <c r="B267" s="3">
        <v>736187.0441227823</v>
      </c>
      <c r="C267" s="3">
        <v>883.1358772177482</v>
      </c>
    </row>
    <row r="268" spans="1:3">
      <c r="A268" s="3">
        <v>241</v>
      </c>
      <c r="B268" s="3">
        <v>734853.61500473809</v>
      </c>
      <c r="C268" s="3">
        <v>42139.314995261957</v>
      </c>
    </row>
    <row r="269" spans="1:3">
      <c r="A269" s="3">
        <v>242</v>
      </c>
      <c r="B269" s="3">
        <v>632473.81827580929</v>
      </c>
      <c r="C269" s="3">
        <v>43863.591724190745</v>
      </c>
    </row>
    <row r="270" spans="1:3">
      <c r="A270" s="3">
        <v>243</v>
      </c>
      <c r="B270" s="3">
        <v>801413.57998457598</v>
      </c>
      <c r="C270" s="3">
        <v>26806.090015424066</v>
      </c>
    </row>
    <row r="271" spans="1:3">
      <c r="A271" s="3">
        <v>244</v>
      </c>
      <c r="B271" s="3">
        <v>742634.33792358264</v>
      </c>
      <c r="C271" s="3">
        <v>20525.582076417399</v>
      </c>
    </row>
    <row r="272" spans="1:3">
      <c r="A272" s="3">
        <v>245</v>
      </c>
      <c r="B272" s="3">
        <v>788744.70847034734</v>
      </c>
      <c r="C272" s="3">
        <v>13256.971529652714</v>
      </c>
    </row>
    <row r="273" spans="1:3">
      <c r="A273" s="3">
        <v>246</v>
      </c>
      <c r="B273" s="3">
        <v>744884.00843099621</v>
      </c>
      <c r="C273" s="3">
        <v>5587.3315690037562</v>
      </c>
    </row>
    <row r="274" spans="1:3">
      <c r="A274" s="3">
        <v>247</v>
      </c>
      <c r="B274" s="3">
        <v>715825.77213770919</v>
      </c>
      <c r="C274" s="3">
        <v>-36594.912137709209</v>
      </c>
    </row>
    <row r="275" spans="1:3">
      <c r="A275" s="3">
        <v>248</v>
      </c>
      <c r="B275" s="3">
        <v>694683.80558862921</v>
      </c>
      <c r="C275" s="3">
        <v>-14795.065588629222</v>
      </c>
    </row>
    <row r="276" spans="1:3">
      <c r="A276" s="3">
        <v>249</v>
      </c>
      <c r="B276" s="3">
        <v>591826.26553136145</v>
      </c>
      <c r="C276" s="3">
        <v>14957.40446863859</v>
      </c>
    </row>
    <row r="277" spans="1:3">
      <c r="A277" s="3">
        <v>250</v>
      </c>
      <c r="B277" s="3">
        <v>650134.98923530988</v>
      </c>
      <c r="C277" s="3">
        <v>-7383.569235309842</v>
      </c>
    </row>
    <row r="278" spans="1:3">
      <c r="A278" s="3">
        <v>251</v>
      </c>
      <c r="B278" s="3">
        <v>648053.14781125658</v>
      </c>
      <c r="C278" s="3">
        <v>-99.367811256553978</v>
      </c>
    </row>
    <row r="279" spans="1:3">
      <c r="A279" s="3">
        <v>252</v>
      </c>
      <c r="B279" s="3">
        <v>707240.92536392109</v>
      </c>
      <c r="C279" s="3">
        <v>22199.524636078859</v>
      </c>
    </row>
    <row r="280" spans="1:3">
      <c r="A280" s="3">
        <v>253</v>
      </c>
      <c r="B280" s="3">
        <v>746014.56966395909</v>
      </c>
      <c r="C280" s="3">
        <v>18934.43033604091</v>
      </c>
    </row>
    <row r="281" spans="1:3">
      <c r="A281" s="3">
        <v>254</v>
      </c>
      <c r="B281" s="3">
        <v>698812.67043830687</v>
      </c>
      <c r="C281" s="3">
        <v>100234.26956169307</v>
      </c>
    </row>
    <row r="282" spans="1:3">
      <c r="A282" s="3">
        <v>255</v>
      </c>
      <c r="B282" s="3">
        <v>667077.18649801076</v>
      </c>
      <c r="C282" s="3">
        <v>53002.353501989273</v>
      </c>
    </row>
    <row r="283" spans="1:3">
      <c r="A283" s="3">
        <v>256</v>
      </c>
      <c r="B283" s="3">
        <v>627355.33659945452</v>
      </c>
      <c r="C283" s="3">
        <v>-14965.196599454503</v>
      </c>
    </row>
    <row r="284" spans="1:3">
      <c r="A284" s="3">
        <v>257</v>
      </c>
      <c r="B284" s="3">
        <v>755527.49658361543</v>
      </c>
      <c r="C284" s="3">
        <v>84580.623416384566</v>
      </c>
    </row>
    <row r="285" spans="1:3">
      <c r="A285" s="3">
        <v>258</v>
      </c>
      <c r="B285" s="3">
        <v>677586.16016676917</v>
      </c>
      <c r="C285" s="3">
        <v>20301.929833230795</v>
      </c>
    </row>
    <row r="286" spans="1:3">
      <c r="A286" s="3">
        <v>259</v>
      </c>
      <c r="B286" s="3">
        <v>745695.33961562288</v>
      </c>
      <c r="C286" s="3">
        <v>420.25038437708281</v>
      </c>
    </row>
    <row r="287" spans="1:3">
      <c r="A287" s="3">
        <v>260</v>
      </c>
      <c r="B287" s="3">
        <v>726129.55422017479</v>
      </c>
      <c r="C287" s="3">
        <v>49980.76577982516</v>
      </c>
    </row>
    <row r="288" spans="1:3">
      <c r="A288" s="3">
        <v>261</v>
      </c>
      <c r="B288" s="3">
        <v>515777.90530680912</v>
      </c>
      <c r="C288" s="3">
        <v>13074.714693190879</v>
      </c>
    </row>
    <row r="289" spans="1:3">
      <c r="A289" s="3">
        <v>262</v>
      </c>
      <c r="B289" s="3">
        <v>598838.87365800154</v>
      </c>
      <c r="C289" s="3">
        <v>6912.4563419984188</v>
      </c>
    </row>
    <row r="290" spans="1:3">
      <c r="A290" s="3">
        <v>263</v>
      </c>
      <c r="B290" s="3">
        <v>601653.46923128562</v>
      </c>
      <c r="C290" s="3">
        <v>75987.180768714403</v>
      </c>
    </row>
    <row r="291" spans="1:3">
      <c r="A291" s="3">
        <v>264</v>
      </c>
      <c r="B291" s="3">
        <v>610706.93204525299</v>
      </c>
      <c r="C291" s="3">
        <v>25906.297954746988</v>
      </c>
    </row>
    <row r="292" spans="1:3">
      <c r="A292" s="3">
        <v>265</v>
      </c>
      <c r="B292" s="3">
        <v>727946.90396467119</v>
      </c>
      <c r="C292" s="3">
        <v>-18961.713964671246</v>
      </c>
    </row>
    <row r="293" spans="1:3">
      <c r="A293" s="3">
        <v>266</v>
      </c>
      <c r="B293" s="3">
        <v>740308.85249777918</v>
      </c>
      <c r="C293" s="3">
        <v>27484.087502220762</v>
      </c>
    </row>
    <row r="294" spans="1:3">
      <c r="A294" s="3">
        <v>267</v>
      </c>
      <c r="B294" s="3">
        <v>724447.39669174305</v>
      </c>
      <c r="C294" s="3">
        <v>21133.113308256958</v>
      </c>
    </row>
    <row r="295" spans="1:3">
      <c r="A295" s="3">
        <v>268</v>
      </c>
      <c r="B295" s="3">
        <v>726707.75470630918</v>
      </c>
      <c r="C295" s="3">
        <v>35620.555293690879</v>
      </c>
    </row>
    <row r="296" spans="1:3">
      <c r="A296" s="3">
        <v>269</v>
      </c>
      <c r="B296" s="3">
        <v>753570.82473685336</v>
      </c>
      <c r="C296" s="3">
        <v>-92936.834736853372</v>
      </c>
    </row>
    <row r="297" spans="1:3">
      <c r="A297" s="3">
        <v>270</v>
      </c>
      <c r="B297" s="3">
        <v>705732.29487512237</v>
      </c>
      <c r="C297" s="3">
        <v>33642.265124877682</v>
      </c>
    </row>
    <row r="298" spans="1:3">
      <c r="A298" s="3">
        <v>271</v>
      </c>
      <c r="B298" s="3">
        <v>819187.64921181847</v>
      </c>
      <c r="C298" s="3">
        <v>-19431.189211818506</v>
      </c>
    </row>
    <row r="299" spans="1:3">
      <c r="A299" s="3">
        <v>272</v>
      </c>
      <c r="B299" s="3">
        <v>684520.47492444585</v>
      </c>
      <c r="C299" s="3">
        <v>-91177.474924445851</v>
      </c>
    </row>
    <row r="300" spans="1:3">
      <c r="A300" s="3">
        <v>273</v>
      </c>
      <c r="B300" s="3">
        <v>632686.26359583763</v>
      </c>
      <c r="C300" s="3">
        <v>12353.706404162338</v>
      </c>
    </row>
    <row r="301" spans="1:3">
      <c r="A301" s="3">
        <v>274</v>
      </c>
      <c r="B301" s="3">
        <v>522149.79982914688</v>
      </c>
      <c r="C301" s="3">
        <v>39447.530170853075</v>
      </c>
    </row>
    <row r="302" spans="1:3">
      <c r="A302" s="3">
        <v>275</v>
      </c>
      <c r="B302" s="3">
        <v>644462.78567585209</v>
      </c>
      <c r="C302" s="3">
        <v>-8625.0456758521032</v>
      </c>
    </row>
    <row r="303" spans="1:3">
      <c r="A303" s="3">
        <v>276</v>
      </c>
      <c r="B303" s="3">
        <v>601337.48539062368</v>
      </c>
      <c r="C303" s="3">
        <v>85400.384609376313</v>
      </c>
    </row>
    <row r="304" spans="1:3">
      <c r="A304" s="3">
        <v>277</v>
      </c>
      <c r="B304" s="3">
        <v>747819.00569535233</v>
      </c>
      <c r="C304" s="3">
        <v>-74742.665695352363</v>
      </c>
    </row>
    <row r="305" spans="1:3">
      <c r="A305" s="3">
        <v>278</v>
      </c>
      <c r="B305" s="3">
        <v>703561.47137336002</v>
      </c>
      <c r="C305" s="3">
        <v>34986.94862664002</v>
      </c>
    </row>
    <row r="306" spans="1:3">
      <c r="A306" s="3">
        <v>279</v>
      </c>
      <c r="B306" s="3">
        <v>755234.71126817225</v>
      </c>
      <c r="C306" s="3">
        <v>1385.0587318277685</v>
      </c>
    </row>
    <row r="307" spans="1:3">
      <c r="A307" s="3">
        <v>280</v>
      </c>
      <c r="B307" s="3">
        <v>774889.25644573756</v>
      </c>
      <c r="C307" s="3">
        <v>-13766.836445737514</v>
      </c>
    </row>
    <row r="308" spans="1:3">
      <c r="A308" s="3">
        <v>281</v>
      </c>
      <c r="B308" s="3">
        <v>563548.2856222234</v>
      </c>
      <c r="C308" s="3">
        <v>-38648.715622223448</v>
      </c>
    </row>
    <row r="309" spans="1:3">
      <c r="A309" s="3">
        <v>282</v>
      </c>
      <c r="B309" s="3">
        <v>576276.06030264101</v>
      </c>
      <c r="C309" s="3">
        <v>-20718.290302640991</v>
      </c>
    </row>
    <row r="310" spans="1:3">
      <c r="A310" s="3">
        <v>283</v>
      </c>
      <c r="B310" s="3">
        <v>683243.3425630664</v>
      </c>
      <c r="C310" s="3">
        <v>30840.337436933652</v>
      </c>
    </row>
    <row r="311" spans="1:3">
      <c r="A311" s="3">
        <v>284</v>
      </c>
      <c r="B311" s="3">
        <v>491833.65230193082</v>
      </c>
      <c r="C311" s="3">
        <v>5606.1676980691846</v>
      </c>
    </row>
    <row r="312" spans="1:3">
      <c r="A312" s="3">
        <v>285</v>
      </c>
      <c r="B312" s="3">
        <v>641811.75518174702</v>
      </c>
      <c r="C312" s="3">
        <v>-5036.0951817469904</v>
      </c>
    </row>
    <row r="313" spans="1:3">
      <c r="A313" s="3">
        <v>286</v>
      </c>
      <c r="B313" s="3">
        <v>634746.682850749</v>
      </c>
      <c r="C313" s="3">
        <v>-1737.1528507489711</v>
      </c>
    </row>
    <row r="314" spans="1:3">
      <c r="A314" s="3">
        <v>287</v>
      </c>
      <c r="B314" s="3">
        <v>606154.68832712108</v>
      </c>
      <c r="C314" s="3">
        <v>3794.3116728789173</v>
      </c>
    </row>
    <row r="315" spans="1:3">
      <c r="A315" s="3">
        <v>288</v>
      </c>
      <c r="B315" s="3">
        <v>558306.92107167386</v>
      </c>
      <c r="C315" s="3">
        <v>-10203.221071673906</v>
      </c>
    </row>
    <row r="316" spans="1:3">
      <c r="A316" s="3">
        <v>289</v>
      </c>
      <c r="B316" s="3">
        <v>711498.78475008486</v>
      </c>
      <c r="C316" s="3">
        <v>17925.635249915184</v>
      </c>
    </row>
    <row r="317" spans="1:3">
      <c r="A317" s="3">
        <v>290</v>
      </c>
      <c r="B317" s="3">
        <v>735071.03866949189</v>
      </c>
      <c r="C317" s="3">
        <v>-38809.548669491895</v>
      </c>
    </row>
    <row r="318" spans="1:3">
      <c r="A318" s="3">
        <v>291</v>
      </c>
      <c r="B318" s="3">
        <v>720506.08755321021</v>
      </c>
      <c r="C318" s="3">
        <v>92810.622446789755</v>
      </c>
    </row>
    <row r="319" spans="1:3">
      <c r="A319" s="3">
        <v>292</v>
      </c>
      <c r="B319" s="3">
        <v>717691.62929807976</v>
      </c>
      <c r="C319" s="3">
        <v>-15622.709298079717</v>
      </c>
    </row>
    <row r="320" spans="1:3">
      <c r="A320" s="3">
        <v>293</v>
      </c>
      <c r="B320" s="3">
        <v>575366.47527635377</v>
      </c>
      <c r="C320" s="3">
        <v>-29142.775276353816</v>
      </c>
    </row>
    <row r="321" spans="1:3">
      <c r="A321" s="3">
        <v>294</v>
      </c>
      <c r="B321" s="3">
        <v>517820.23044471641</v>
      </c>
      <c r="C321" s="3">
        <v>15301.029555283603</v>
      </c>
    </row>
    <row r="322" spans="1:3">
      <c r="A322" s="3">
        <v>295</v>
      </c>
      <c r="B322" s="3">
        <v>491420.637601519</v>
      </c>
      <c r="C322" s="3">
        <v>7549.6823984810035</v>
      </c>
    </row>
    <row r="323" spans="1:3">
      <c r="A323" s="3">
        <v>296</v>
      </c>
      <c r="B323" s="3">
        <v>458630.73558227182</v>
      </c>
      <c r="C323" s="3">
        <v>29107.524417728186</v>
      </c>
    </row>
    <row r="324" spans="1:3">
      <c r="A324" s="3">
        <v>297</v>
      </c>
      <c r="B324" s="3">
        <v>667955.99004183733</v>
      </c>
      <c r="C324" s="3">
        <v>503.3799581626663</v>
      </c>
    </row>
    <row r="325" spans="1:3">
      <c r="A325" s="3">
        <v>298</v>
      </c>
      <c r="B325" s="3">
        <v>677299.07003993797</v>
      </c>
      <c r="C325" s="3">
        <v>85863.379960061982</v>
      </c>
    </row>
    <row r="326" spans="1:3">
      <c r="A326" s="3">
        <v>299</v>
      </c>
      <c r="B326" s="3">
        <v>619212.94564175024</v>
      </c>
      <c r="C326" s="3">
        <v>-20195.615641750279</v>
      </c>
    </row>
    <row r="327" spans="1:3">
      <c r="A327" s="3">
        <v>300</v>
      </c>
      <c r="B327" s="3">
        <v>471075.87309023156</v>
      </c>
      <c r="C327" s="3">
        <v>-69493.293090231542</v>
      </c>
    </row>
    <row r="328" spans="1:3">
      <c r="A328" s="3">
        <v>301</v>
      </c>
      <c r="B328" s="3">
        <v>730803.27569008456</v>
      </c>
      <c r="C328" s="3">
        <v>-26990.285690084565</v>
      </c>
    </row>
    <row r="329" spans="1:3">
      <c r="A329" s="3">
        <v>302</v>
      </c>
      <c r="B329" s="3">
        <v>734680.73630349105</v>
      </c>
      <c r="C329" s="3">
        <v>-10334.006303491071</v>
      </c>
    </row>
    <row r="330" spans="1:3">
      <c r="A330" s="3">
        <v>303</v>
      </c>
      <c r="B330" s="3">
        <v>742939.06065773347</v>
      </c>
      <c r="C330" s="3">
        <v>-12049.05065773346</v>
      </c>
    </row>
    <row r="331" spans="1:3">
      <c r="A331" s="3">
        <v>304</v>
      </c>
      <c r="B331" s="3">
        <v>732677.69672008557</v>
      </c>
      <c r="C331" s="3">
        <v>47903.253279914381</v>
      </c>
    </row>
    <row r="332" spans="1:3">
      <c r="A332" s="3">
        <v>305</v>
      </c>
      <c r="B332" s="3">
        <v>692803.72397493816</v>
      </c>
      <c r="C332" s="3">
        <v>35153.756025061826</v>
      </c>
    </row>
    <row r="333" spans="1:3">
      <c r="A333" s="3">
        <v>306</v>
      </c>
      <c r="B333" s="3">
        <v>635292.15846079763</v>
      </c>
      <c r="C333" s="3">
        <v>-96916.158460797626</v>
      </c>
    </row>
    <row r="334" spans="1:3">
      <c r="A334" s="3">
        <v>307</v>
      </c>
      <c r="B334" s="3">
        <v>621177.94701717398</v>
      </c>
      <c r="C334" s="3">
        <v>44164.542982826009</v>
      </c>
    </row>
    <row r="335" spans="1:3">
      <c r="A335" s="3">
        <v>308</v>
      </c>
      <c r="B335" s="3">
        <v>708415.02745191217</v>
      </c>
      <c r="C335" s="3">
        <v>-57250.847451912123</v>
      </c>
    </row>
    <row r="336" spans="1:3">
      <c r="A336" s="3">
        <v>309</v>
      </c>
      <c r="B336" s="3">
        <v>638287.31120723253</v>
      </c>
      <c r="C336" s="3">
        <v>-9749.0112072324846</v>
      </c>
    </row>
    <row r="337" spans="1:3">
      <c r="A337" s="3">
        <v>310</v>
      </c>
      <c r="B337" s="3">
        <v>570085.0729036578</v>
      </c>
      <c r="C337" s="3">
        <v>-33560.23290365783</v>
      </c>
    </row>
    <row r="338" spans="1:3">
      <c r="A338" s="3">
        <v>311</v>
      </c>
      <c r="B338" s="3">
        <v>628857.89939213824</v>
      </c>
      <c r="C338" s="3">
        <v>-7180.5993921381887</v>
      </c>
    </row>
    <row r="339" spans="1:3">
      <c r="A339" s="3">
        <v>312</v>
      </c>
      <c r="B339" s="3">
        <v>744536.59528704127</v>
      </c>
      <c r="C339" s="3">
        <v>26592.474712958676</v>
      </c>
    </row>
    <row r="340" spans="1:3">
      <c r="A340" s="3">
        <v>313</v>
      </c>
      <c r="B340" s="3">
        <v>681648.38652706053</v>
      </c>
      <c r="C340" s="3">
        <v>20404.083472939441</v>
      </c>
    </row>
    <row r="341" spans="1:3">
      <c r="A341" s="3">
        <v>314</v>
      </c>
      <c r="B341" s="3">
        <v>732460.509683282</v>
      </c>
      <c r="C341" s="3">
        <v>-44092.049683282035</v>
      </c>
    </row>
    <row r="342" spans="1:3">
      <c r="A342" s="3">
        <v>315</v>
      </c>
      <c r="B342" s="3">
        <v>694758.89478196832</v>
      </c>
      <c r="C342" s="3">
        <v>17616.875218031695</v>
      </c>
    </row>
    <row r="343" spans="1:3">
      <c r="A343" s="3">
        <v>316</v>
      </c>
      <c r="B343" s="3">
        <v>822207.61290679884</v>
      </c>
      <c r="C343" s="3">
        <v>22503.057093201205</v>
      </c>
    </row>
    <row r="344" spans="1:3">
      <c r="A344" s="3">
        <v>317</v>
      </c>
      <c r="B344" s="3">
        <v>683337.84358029952</v>
      </c>
      <c r="C344" s="3">
        <v>-63073.643580299569</v>
      </c>
    </row>
    <row r="345" spans="1:3">
      <c r="A345" s="3">
        <v>318</v>
      </c>
      <c r="B345" s="3">
        <v>534197.184162447</v>
      </c>
      <c r="C345" s="3">
        <v>2648.2358375530457</v>
      </c>
    </row>
    <row r="346" spans="1:3">
      <c r="A346" s="3">
        <v>319</v>
      </c>
      <c r="B346" s="3">
        <v>738310.82622039435</v>
      </c>
      <c r="C346" s="3">
        <v>-11534.606220394373</v>
      </c>
    </row>
    <row r="347" spans="1:3" ht="15" thickBot="1">
      <c r="A347" s="3">
        <v>320</v>
      </c>
      <c r="B347" s="4">
        <v>604622.48156685138</v>
      </c>
      <c r="C347" s="4">
        <v>-44961.641566851409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5B45-3618-4F81-B6E8-0BC370A9E81F}">
  <dimension ref="A1:D321"/>
  <sheetViews>
    <sheetView zoomScaleNormal="100" workbookViewId="0">
      <selection activeCell="C9" sqref="C9"/>
    </sheetView>
  </sheetViews>
  <sheetFormatPr defaultRowHeight="14.6"/>
  <cols>
    <col min="1" max="1" width="18.15234375" customWidth="1"/>
    <col min="2" max="2" width="20.15234375" customWidth="1"/>
    <col min="3" max="3" width="20" customWidth="1"/>
    <col min="4" max="4" width="16.61328125" customWidth="1"/>
    <col min="6" max="6" width="9.23046875" customWidth="1"/>
  </cols>
  <sheetData>
    <row r="1" spans="1:4">
      <c r="A1" s="8" t="s">
        <v>133</v>
      </c>
      <c r="B1" s="8" t="s">
        <v>159</v>
      </c>
      <c r="C1" s="8" t="s">
        <v>160</v>
      </c>
      <c r="D1" s="8" t="s">
        <v>117</v>
      </c>
    </row>
    <row r="2" spans="1:4">
      <c r="A2" s="3">
        <v>1</v>
      </c>
      <c r="B2">
        <v>658832.62</v>
      </c>
      <c r="C2" s="3">
        <v>712092.47740722122</v>
      </c>
      <c r="D2" s="3">
        <v>-53259.857407221221</v>
      </c>
    </row>
    <row r="3" spans="1:4">
      <c r="A3" s="3">
        <v>2</v>
      </c>
      <c r="B3">
        <v>634436</v>
      </c>
      <c r="C3" s="3">
        <v>715249.69715120422</v>
      </c>
      <c r="D3" s="3">
        <v>-80813.697151204222</v>
      </c>
    </row>
    <row r="4" spans="1:4">
      <c r="A4" s="3">
        <v>3</v>
      </c>
      <c r="B4">
        <v>678722.06</v>
      </c>
      <c r="C4" s="3">
        <v>765871.46642032568</v>
      </c>
      <c r="D4" s="3">
        <v>-87149.406420325628</v>
      </c>
    </row>
    <row r="5" spans="1:4">
      <c r="A5" s="3">
        <v>4</v>
      </c>
      <c r="B5">
        <v>658920.30000000005</v>
      </c>
      <c r="C5" s="3">
        <v>769682.02582982648</v>
      </c>
      <c r="D5" s="3">
        <v>-110761.72582982644</v>
      </c>
    </row>
    <row r="6" spans="1:4">
      <c r="A6" s="3">
        <v>5</v>
      </c>
      <c r="B6">
        <v>741341.44</v>
      </c>
      <c r="C6" s="3">
        <v>795552.20552667498</v>
      </c>
      <c r="D6" s="3">
        <v>-54210.765526675037</v>
      </c>
    </row>
    <row r="7" spans="1:4">
      <c r="A7" s="3">
        <v>6</v>
      </c>
      <c r="B7">
        <v>761835.34</v>
      </c>
      <c r="C7" s="3">
        <v>783068.76355353335</v>
      </c>
      <c r="D7" s="3">
        <v>-21233.423553533386</v>
      </c>
    </row>
    <row r="8" spans="1:4">
      <c r="A8" s="3">
        <v>7</v>
      </c>
      <c r="B8">
        <v>806615.54</v>
      </c>
      <c r="C8" s="3">
        <v>791952.84983087331</v>
      </c>
      <c r="D8" s="3">
        <v>14662.690169126727</v>
      </c>
    </row>
    <row r="9" spans="1:4">
      <c r="A9" s="3">
        <v>8</v>
      </c>
      <c r="B9">
        <v>850164.26</v>
      </c>
      <c r="C9" s="3">
        <v>779843.47019998683</v>
      </c>
      <c r="D9" s="3">
        <v>70320.789800013183</v>
      </c>
    </row>
    <row r="10" spans="1:4">
      <c r="A10" s="3">
        <v>9</v>
      </c>
      <c r="B10">
        <v>930581.7</v>
      </c>
      <c r="C10" s="3">
        <v>844305.83721481625</v>
      </c>
      <c r="D10" s="3">
        <v>86275.862785183708</v>
      </c>
    </row>
    <row r="11" spans="1:4">
      <c r="A11" s="3">
        <v>10</v>
      </c>
      <c r="B11">
        <v>779010.94</v>
      </c>
      <c r="C11" s="3">
        <v>778160.18423377001</v>
      </c>
      <c r="D11" s="3">
        <v>850.75576622993685</v>
      </c>
    </row>
    <row r="12" spans="1:4">
      <c r="A12" s="3">
        <v>11</v>
      </c>
      <c r="B12">
        <v>723060.76</v>
      </c>
      <c r="C12" s="3">
        <v>738723.38324302773</v>
      </c>
      <c r="D12" s="3">
        <v>-15662.623243027716</v>
      </c>
    </row>
    <row r="13" spans="1:4">
      <c r="A13" s="3">
        <v>12</v>
      </c>
      <c r="B13">
        <v>910791.94</v>
      </c>
      <c r="C13" s="3">
        <v>838370.77826862584</v>
      </c>
      <c r="D13" s="3">
        <v>72421.161731374101</v>
      </c>
    </row>
    <row r="14" spans="1:4">
      <c r="A14" s="3">
        <v>13</v>
      </c>
      <c r="B14">
        <v>922168.6</v>
      </c>
      <c r="C14" s="3">
        <v>884038.10974085797</v>
      </c>
      <c r="D14" s="3">
        <v>38130.49025914201</v>
      </c>
    </row>
    <row r="15" spans="1:4">
      <c r="A15" s="3">
        <v>14</v>
      </c>
      <c r="B15">
        <v>726606.28</v>
      </c>
      <c r="C15" s="3">
        <v>783308.00679093227</v>
      </c>
      <c r="D15" s="3">
        <v>-56701.72679093224</v>
      </c>
    </row>
    <row r="16" spans="1:4">
      <c r="A16" s="3">
        <v>15</v>
      </c>
      <c r="B16">
        <v>746501.09</v>
      </c>
      <c r="C16" s="3">
        <v>760920.89994498703</v>
      </c>
      <c r="D16" s="3">
        <v>-14419.809944987064</v>
      </c>
    </row>
    <row r="17" spans="1:4">
      <c r="A17" s="3">
        <v>16</v>
      </c>
      <c r="B17">
        <v>834017.02</v>
      </c>
      <c r="C17" s="3">
        <v>810948.26197877445</v>
      </c>
      <c r="D17" s="3">
        <v>23068.758021225571</v>
      </c>
    </row>
    <row r="18" spans="1:4">
      <c r="A18" s="3">
        <v>17</v>
      </c>
      <c r="B18">
        <v>666152.52</v>
      </c>
      <c r="C18" s="3">
        <v>682885.90769453975</v>
      </c>
      <c r="D18" s="3">
        <v>-16733.387694539735</v>
      </c>
    </row>
    <row r="19" spans="1:4">
      <c r="A19" s="3">
        <v>18</v>
      </c>
      <c r="B19">
        <v>573155.18999999994</v>
      </c>
      <c r="C19" s="3">
        <v>600804.81351507362</v>
      </c>
      <c r="D19" s="3">
        <v>-27649.623515073676</v>
      </c>
    </row>
    <row r="20" spans="1:4">
      <c r="A20" s="3">
        <v>19</v>
      </c>
      <c r="B20">
        <v>666573.19999999995</v>
      </c>
      <c r="C20" s="3">
        <v>686122.07460308098</v>
      </c>
      <c r="D20" s="3">
        <v>-19548.874603081029</v>
      </c>
    </row>
    <row r="21" spans="1:4">
      <c r="A21" s="3">
        <v>20</v>
      </c>
      <c r="B21">
        <v>591619.94999999995</v>
      </c>
      <c r="C21" s="3">
        <v>602415.36387963919</v>
      </c>
      <c r="D21" s="3">
        <v>-10795.413879639236</v>
      </c>
    </row>
    <row r="22" spans="1:4">
      <c r="A22" s="3">
        <v>21</v>
      </c>
      <c r="B22">
        <v>415721.82</v>
      </c>
      <c r="C22" s="3">
        <v>510354.70710128121</v>
      </c>
      <c r="D22" s="3">
        <v>-94632.887101281201</v>
      </c>
    </row>
    <row r="23" spans="1:4">
      <c r="A23" s="3">
        <v>22</v>
      </c>
      <c r="B23">
        <v>491905.13</v>
      </c>
      <c r="C23" s="3">
        <v>501550.4549635438</v>
      </c>
      <c r="D23" s="3">
        <v>-9645.3249635437969</v>
      </c>
    </row>
    <row r="24" spans="1:4">
      <c r="A24" s="3">
        <v>23</v>
      </c>
      <c r="B24">
        <v>555929.4</v>
      </c>
      <c r="C24" s="3">
        <v>534157.41374594742</v>
      </c>
      <c r="D24" s="3">
        <v>21771.986254052608</v>
      </c>
    </row>
    <row r="25" spans="1:4">
      <c r="A25" s="3">
        <v>24</v>
      </c>
      <c r="B25">
        <v>565810.99</v>
      </c>
      <c r="C25" s="3">
        <v>562249.27460695582</v>
      </c>
      <c r="D25" s="3">
        <v>3561.7153930441709</v>
      </c>
    </row>
    <row r="26" spans="1:4">
      <c r="A26" s="3">
        <v>25</v>
      </c>
      <c r="B26">
        <v>811771.14</v>
      </c>
      <c r="C26" s="3">
        <v>836512.19770167663</v>
      </c>
      <c r="D26" s="3">
        <v>-24741.057701676618</v>
      </c>
    </row>
    <row r="27" spans="1:4">
      <c r="A27" s="3">
        <v>26</v>
      </c>
      <c r="B27">
        <v>800451.94</v>
      </c>
      <c r="C27" s="3">
        <v>901836.8515018645</v>
      </c>
      <c r="D27" s="3">
        <v>-101384.91150186455</v>
      </c>
    </row>
    <row r="28" spans="1:4">
      <c r="A28" s="3">
        <v>27</v>
      </c>
      <c r="B28">
        <v>783672.82</v>
      </c>
      <c r="C28" s="3">
        <v>794681.25356916839</v>
      </c>
      <c r="D28" s="3">
        <v>-11008.433569168439</v>
      </c>
    </row>
    <row r="29" spans="1:4">
      <c r="A29" s="3">
        <v>28</v>
      </c>
      <c r="B29">
        <v>701641.97</v>
      </c>
      <c r="C29" s="3">
        <v>698431.76965594525</v>
      </c>
      <c r="D29" s="3">
        <v>3210.2003440547269</v>
      </c>
    </row>
    <row r="30" spans="1:4">
      <c r="A30" s="3">
        <v>29</v>
      </c>
      <c r="B30">
        <v>511844.41</v>
      </c>
      <c r="C30" s="3">
        <v>594913.8430283831</v>
      </c>
      <c r="D30" s="3">
        <v>-83069.433028383122</v>
      </c>
    </row>
    <row r="31" spans="1:4">
      <c r="A31" s="3">
        <v>30</v>
      </c>
      <c r="B31">
        <v>537383.79</v>
      </c>
      <c r="C31" s="3">
        <v>542338.27055895678</v>
      </c>
      <c r="D31" s="3">
        <v>-4954.4805589567404</v>
      </c>
    </row>
    <row r="32" spans="1:4">
      <c r="A32" s="3">
        <v>31</v>
      </c>
      <c r="B32">
        <v>500173.02</v>
      </c>
      <c r="C32" s="3">
        <v>524034.28099489736</v>
      </c>
      <c r="D32" s="3">
        <v>-23861.26099489734</v>
      </c>
    </row>
    <row r="33" spans="1:4">
      <c r="A33" s="3">
        <v>32</v>
      </c>
      <c r="B33">
        <v>427917.38</v>
      </c>
      <c r="C33" s="3">
        <v>509606.35130943055</v>
      </c>
      <c r="D33" s="3">
        <v>-81688.971309430548</v>
      </c>
    </row>
    <row r="34" spans="1:4">
      <c r="A34" s="3">
        <v>33</v>
      </c>
      <c r="B34">
        <v>641865.03</v>
      </c>
      <c r="C34" s="3">
        <v>756226.5393909046</v>
      </c>
      <c r="D34" s="3">
        <v>-114361.50939090457</v>
      </c>
    </row>
    <row r="35" spans="1:4">
      <c r="A35" s="3">
        <v>34</v>
      </c>
      <c r="B35">
        <v>799477.76000000001</v>
      </c>
      <c r="C35" s="3">
        <v>858985.17534661235</v>
      </c>
      <c r="D35" s="3">
        <v>-59507.415346612339</v>
      </c>
    </row>
    <row r="36" spans="1:4">
      <c r="A36" s="3">
        <v>35</v>
      </c>
      <c r="B36">
        <v>798952.17</v>
      </c>
      <c r="C36" s="3">
        <v>806367.05626265006</v>
      </c>
      <c r="D36" s="3">
        <v>-7414.8862626500195</v>
      </c>
    </row>
    <row r="37" spans="1:4">
      <c r="A37" s="3">
        <v>36</v>
      </c>
      <c r="B37">
        <v>800979.78</v>
      </c>
      <c r="C37" s="3">
        <v>835001.51968058059</v>
      </c>
      <c r="D37" s="3">
        <v>-34021.739680580562</v>
      </c>
    </row>
    <row r="38" spans="1:4">
      <c r="A38" s="3">
        <v>37</v>
      </c>
      <c r="B38">
        <v>820593.93</v>
      </c>
      <c r="C38" s="3">
        <v>775819.78944184678</v>
      </c>
      <c r="D38" s="3">
        <v>44774.140558153274</v>
      </c>
    </row>
    <row r="39" spans="1:4">
      <c r="A39" s="3">
        <v>38</v>
      </c>
      <c r="B39">
        <v>718330.53</v>
      </c>
      <c r="C39" s="3">
        <v>765727.5235327452</v>
      </c>
      <c r="D39" s="3">
        <v>-47396.993532745168</v>
      </c>
    </row>
    <row r="40" spans="1:4">
      <c r="A40" s="3">
        <v>39</v>
      </c>
      <c r="B40">
        <v>736633.4</v>
      </c>
      <c r="C40" s="3">
        <v>753568.81127150846</v>
      </c>
      <c r="D40" s="3">
        <v>-16935.411271508434</v>
      </c>
    </row>
    <row r="41" spans="1:4">
      <c r="A41" s="3">
        <v>40</v>
      </c>
      <c r="B41">
        <v>828623.85</v>
      </c>
      <c r="C41" s="3">
        <v>834696.10084368847</v>
      </c>
      <c r="D41" s="3">
        <v>-6072.2508436884964</v>
      </c>
    </row>
    <row r="42" spans="1:4">
      <c r="A42" s="3">
        <v>41</v>
      </c>
      <c r="B42">
        <v>592195.85</v>
      </c>
      <c r="C42" s="3">
        <v>597211.45008940203</v>
      </c>
      <c r="D42" s="3">
        <v>-5015.6000894020544</v>
      </c>
    </row>
    <row r="43" spans="1:4">
      <c r="A43" s="3">
        <v>42</v>
      </c>
      <c r="B43">
        <v>532644.46</v>
      </c>
      <c r="C43" s="3">
        <v>530209.82745493203</v>
      </c>
      <c r="D43" s="3">
        <v>2434.6325450679287</v>
      </c>
    </row>
    <row r="44" spans="1:4">
      <c r="A44" s="3">
        <v>43</v>
      </c>
      <c r="B44">
        <v>657429.18000000005</v>
      </c>
      <c r="C44" s="3">
        <v>598586.48737960448</v>
      </c>
      <c r="D44" s="3">
        <v>58842.692620395566</v>
      </c>
    </row>
    <row r="45" spans="1:4">
      <c r="A45" s="3">
        <v>44</v>
      </c>
      <c r="B45">
        <v>605178</v>
      </c>
      <c r="C45" s="3">
        <v>603123.95344426937</v>
      </c>
      <c r="D45" s="3">
        <v>2054.0465557306306</v>
      </c>
    </row>
    <row r="46" spans="1:4">
      <c r="A46" s="3">
        <v>45</v>
      </c>
      <c r="B46">
        <v>595467.6</v>
      </c>
      <c r="C46" s="3">
        <v>725613.54392588185</v>
      </c>
      <c r="D46" s="3">
        <v>-130145.94392588187</v>
      </c>
    </row>
    <row r="47" spans="1:4">
      <c r="A47" s="3">
        <v>46</v>
      </c>
      <c r="B47">
        <v>599603.4</v>
      </c>
      <c r="C47" s="3">
        <v>645532.88522842631</v>
      </c>
      <c r="D47" s="3">
        <v>-45929.485228426289</v>
      </c>
    </row>
    <row r="48" spans="1:4">
      <c r="A48" s="3">
        <v>47</v>
      </c>
      <c r="B48">
        <v>614800.09</v>
      </c>
      <c r="C48" s="3">
        <v>584604.96701459982</v>
      </c>
      <c r="D48" s="3">
        <v>30195.122985400143</v>
      </c>
    </row>
    <row r="49" spans="1:4">
      <c r="A49" s="3">
        <v>48</v>
      </c>
      <c r="B49">
        <v>585365.73</v>
      </c>
      <c r="C49" s="3">
        <v>575710.68455348047</v>
      </c>
      <c r="D49" s="3">
        <v>9655.0454465195071</v>
      </c>
    </row>
    <row r="50" spans="1:4">
      <c r="A50" s="3">
        <v>49</v>
      </c>
      <c r="B50">
        <v>622811.74</v>
      </c>
      <c r="C50" s="3">
        <v>659203.87073868397</v>
      </c>
      <c r="D50" s="3">
        <v>-36392.130738683976</v>
      </c>
    </row>
    <row r="51" spans="1:4">
      <c r="A51" s="3">
        <v>50</v>
      </c>
      <c r="B51">
        <v>603297.56999999995</v>
      </c>
      <c r="C51" s="3">
        <v>599621.63368408917</v>
      </c>
      <c r="D51" s="3">
        <v>3675.9363159107743</v>
      </c>
    </row>
    <row r="52" spans="1:4">
      <c r="A52" s="3">
        <v>51</v>
      </c>
      <c r="B52">
        <v>625672.86</v>
      </c>
      <c r="C52" s="3">
        <v>612266.33563351631</v>
      </c>
      <c r="D52" s="3">
        <v>13406.524366483674</v>
      </c>
    </row>
    <row r="53" spans="1:4">
      <c r="A53" s="3">
        <v>52</v>
      </c>
      <c r="B53">
        <v>773815.14</v>
      </c>
      <c r="C53" s="3">
        <v>740392.62821560248</v>
      </c>
      <c r="D53" s="3">
        <v>33422.511784397531</v>
      </c>
    </row>
    <row r="54" spans="1:4">
      <c r="A54" s="3">
        <v>53</v>
      </c>
      <c r="B54">
        <v>463534.25</v>
      </c>
      <c r="C54" s="3">
        <v>550753.473066604</v>
      </c>
      <c r="D54" s="3">
        <v>-87219.223066603998</v>
      </c>
    </row>
    <row r="55" spans="1:4">
      <c r="A55" s="3">
        <v>54</v>
      </c>
      <c r="B55">
        <v>746677.75</v>
      </c>
      <c r="C55" s="3">
        <v>706377.53411918238</v>
      </c>
      <c r="D55" s="3">
        <v>40300.215880817617</v>
      </c>
    </row>
    <row r="56" spans="1:4">
      <c r="A56" s="3">
        <v>55</v>
      </c>
      <c r="B56">
        <v>720852.5</v>
      </c>
      <c r="C56" s="3">
        <v>669949.06696563656</v>
      </c>
      <c r="D56" s="3">
        <v>50903.433034363436</v>
      </c>
    </row>
    <row r="57" spans="1:4">
      <c r="A57" s="3">
        <v>56</v>
      </c>
      <c r="B57">
        <v>487464.91</v>
      </c>
      <c r="C57" s="3">
        <v>522176.74360915553</v>
      </c>
      <c r="D57" s="3">
        <v>-34711.833609155554</v>
      </c>
    </row>
    <row r="58" spans="1:4">
      <c r="A58" s="3">
        <v>57</v>
      </c>
      <c r="B58">
        <v>518049.26</v>
      </c>
      <c r="C58" s="3">
        <v>512407.18076946645</v>
      </c>
      <c r="D58" s="3">
        <v>5642.0792305335635</v>
      </c>
    </row>
    <row r="59" spans="1:4">
      <c r="A59" s="3">
        <v>58</v>
      </c>
      <c r="B59">
        <v>500298.48</v>
      </c>
      <c r="C59" s="3">
        <v>507803.61291847052</v>
      </c>
      <c r="D59" s="3">
        <v>-7505.1329184705392</v>
      </c>
    </row>
    <row r="60" spans="1:4">
      <c r="A60" s="3">
        <v>59</v>
      </c>
      <c r="B60">
        <v>617291.15</v>
      </c>
      <c r="C60" s="3">
        <v>661245.30301750416</v>
      </c>
      <c r="D60" s="3">
        <v>-43954.153017504141</v>
      </c>
    </row>
    <row r="61" spans="1:4">
      <c r="A61" s="3">
        <v>60</v>
      </c>
      <c r="B61">
        <v>553756.43000000005</v>
      </c>
      <c r="C61" s="3">
        <v>600397.33029166481</v>
      </c>
      <c r="D61" s="3">
        <v>-46640.900291664759</v>
      </c>
    </row>
    <row r="62" spans="1:4">
      <c r="A62" s="3">
        <v>61</v>
      </c>
      <c r="B62">
        <v>749559.71</v>
      </c>
      <c r="C62" s="3">
        <v>678209.6449324633</v>
      </c>
      <c r="D62" s="3">
        <v>71350.065067536663</v>
      </c>
    </row>
    <row r="63" spans="1:4">
      <c r="A63" s="3">
        <v>62</v>
      </c>
      <c r="B63">
        <v>615966.48</v>
      </c>
      <c r="C63" s="3">
        <v>560697.28826601838</v>
      </c>
      <c r="D63" s="3">
        <v>55269.191733981599</v>
      </c>
    </row>
    <row r="64" spans="1:4">
      <c r="A64" s="3">
        <v>63</v>
      </c>
      <c r="B64">
        <v>572011.19999999995</v>
      </c>
      <c r="C64" s="3">
        <v>579768.09888421581</v>
      </c>
      <c r="D64" s="3">
        <v>-7756.8988842158578</v>
      </c>
    </row>
    <row r="65" spans="1:4">
      <c r="A65" s="3">
        <v>64</v>
      </c>
      <c r="B65">
        <v>761860.19</v>
      </c>
      <c r="C65" s="3">
        <v>708978.27859153249</v>
      </c>
      <c r="D65" s="3">
        <v>52881.911408467451</v>
      </c>
    </row>
    <row r="66" spans="1:4">
      <c r="A66" s="3">
        <v>65</v>
      </c>
      <c r="B66">
        <v>784502.68</v>
      </c>
      <c r="C66" s="3">
        <v>800992.30044454383</v>
      </c>
      <c r="D66" s="3">
        <v>-16489.620444543776</v>
      </c>
    </row>
    <row r="67" spans="1:4">
      <c r="A67" s="3">
        <v>66</v>
      </c>
      <c r="B67">
        <v>717141.55</v>
      </c>
      <c r="C67" s="3">
        <v>732006.38588416285</v>
      </c>
      <c r="D67" s="3">
        <v>-14864.835884162807</v>
      </c>
    </row>
    <row r="68" spans="1:4">
      <c r="A68" s="3">
        <v>67</v>
      </c>
      <c r="B68">
        <v>685379.08</v>
      </c>
      <c r="C68" s="3">
        <v>838747.36925699585</v>
      </c>
      <c r="D68" s="3">
        <v>-153368.28925699589</v>
      </c>
    </row>
    <row r="69" spans="1:4">
      <c r="A69" s="3">
        <v>68</v>
      </c>
      <c r="B69">
        <v>740496.65</v>
      </c>
      <c r="C69" s="3">
        <v>728796.38459065673</v>
      </c>
      <c r="D69" s="3">
        <v>11700.265409343294</v>
      </c>
    </row>
    <row r="70" spans="1:4">
      <c r="A70" s="3">
        <v>69</v>
      </c>
      <c r="B70">
        <v>661927.14</v>
      </c>
      <c r="C70" s="3">
        <v>596086.0231095372</v>
      </c>
      <c r="D70" s="3">
        <v>65841.116890462814</v>
      </c>
    </row>
    <row r="71" spans="1:4">
      <c r="A71" s="3">
        <v>70</v>
      </c>
      <c r="B71">
        <v>479050.5</v>
      </c>
      <c r="C71" s="3">
        <v>509368.10070224712</v>
      </c>
      <c r="D71" s="3">
        <v>-30317.600702247117</v>
      </c>
    </row>
    <row r="72" spans="1:4">
      <c r="A72" s="3">
        <v>71</v>
      </c>
      <c r="B72">
        <v>605023.87</v>
      </c>
      <c r="C72" s="3">
        <v>600580.79500414617</v>
      </c>
      <c r="D72" s="3">
        <v>4443.0749958538217</v>
      </c>
    </row>
    <row r="73" spans="1:4">
      <c r="A73" s="3">
        <v>72</v>
      </c>
      <c r="B73">
        <v>674774.09</v>
      </c>
      <c r="C73" s="3">
        <v>638322.68149168417</v>
      </c>
      <c r="D73" s="3">
        <v>36451.408508315799</v>
      </c>
    </row>
    <row r="74" spans="1:4">
      <c r="A74" s="3">
        <v>73</v>
      </c>
      <c r="B74">
        <v>616069.41</v>
      </c>
      <c r="C74" s="3">
        <v>615015.25307061779</v>
      </c>
      <c r="D74" s="3">
        <v>1054.1569293822395</v>
      </c>
    </row>
    <row r="75" spans="1:4">
      <c r="A75" s="3">
        <v>74</v>
      </c>
      <c r="B75">
        <v>630829.93999999994</v>
      </c>
      <c r="C75" s="3">
        <v>701355.66886148695</v>
      </c>
      <c r="D75" s="3">
        <v>-70525.728861487005</v>
      </c>
    </row>
    <row r="76" spans="1:4">
      <c r="A76" s="3">
        <v>75</v>
      </c>
      <c r="B76">
        <v>788087.68</v>
      </c>
      <c r="C76" s="3">
        <v>715561.93018951197</v>
      </c>
      <c r="D76" s="3">
        <v>72525.74981048808</v>
      </c>
    </row>
    <row r="77" spans="1:4">
      <c r="A77" s="3">
        <v>76</v>
      </c>
      <c r="B77">
        <v>680840.36</v>
      </c>
      <c r="C77" s="3">
        <v>727218.62336221151</v>
      </c>
      <c r="D77" s="3">
        <v>-46378.263362211525</v>
      </c>
    </row>
    <row r="78" spans="1:4">
      <c r="A78" s="3">
        <v>77</v>
      </c>
      <c r="B78">
        <v>643657.47</v>
      </c>
      <c r="C78" s="3">
        <v>649342.54176967684</v>
      </c>
      <c r="D78" s="3">
        <v>-5685.0717696768697</v>
      </c>
    </row>
    <row r="79" spans="1:4">
      <c r="A79" s="3">
        <v>78</v>
      </c>
      <c r="B79">
        <v>691112.6</v>
      </c>
      <c r="C79" s="3">
        <v>646344.38408469735</v>
      </c>
      <c r="D79" s="3">
        <v>44768.21591530263</v>
      </c>
    </row>
    <row r="80" spans="1:4">
      <c r="A80" s="3">
        <v>79</v>
      </c>
      <c r="B80">
        <v>776922.17</v>
      </c>
      <c r="C80" s="3">
        <v>721422.49375075393</v>
      </c>
      <c r="D80" s="3">
        <v>55499.676249246113</v>
      </c>
    </row>
    <row r="81" spans="1:4">
      <c r="A81" s="3">
        <v>80</v>
      </c>
      <c r="B81">
        <v>636561.34</v>
      </c>
      <c r="C81" s="3">
        <v>661598.95846660249</v>
      </c>
      <c r="D81" s="3">
        <v>-25037.618466602522</v>
      </c>
    </row>
    <row r="82" spans="1:4">
      <c r="A82" s="3">
        <v>81</v>
      </c>
      <c r="B82">
        <v>621369.57999999996</v>
      </c>
      <c r="C82" s="3">
        <v>646194.24106878764</v>
      </c>
      <c r="D82" s="3">
        <v>-24824.661068787682</v>
      </c>
    </row>
    <row r="83" spans="1:4">
      <c r="A83" s="3">
        <v>82</v>
      </c>
      <c r="B83">
        <v>682208.01</v>
      </c>
      <c r="C83" s="3">
        <v>630691.02929615614</v>
      </c>
      <c r="D83" s="3">
        <v>51516.980703843874</v>
      </c>
    </row>
    <row r="84" spans="1:4">
      <c r="A84" s="3">
        <v>83</v>
      </c>
      <c r="B84">
        <v>727241.86</v>
      </c>
      <c r="C84" s="3">
        <v>643889.10016170004</v>
      </c>
      <c r="D84" s="3">
        <v>83352.759838299942</v>
      </c>
    </row>
    <row r="85" spans="1:4">
      <c r="A85" s="3">
        <v>84</v>
      </c>
      <c r="B85">
        <v>569100.78</v>
      </c>
      <c r="C85" s="3">
        <v>554532.91844121844</v>
      </c>
      <c r="D85" s="3">
        <v>14567.861558781588</v>
      </c>
    </row>
    <row r="86" spans="1:4">
      <c r="A86" s="3">
        <v>85</v>
      </c>
      <c r="B86">
        <v>574436.29</v>
      </c>
      <c r="C86" s="3">
        <v>550499.13395395537</v>
      </c>
      <c r="D86" s="3">
        <v>23937.156046044664</v>
      </c>
    </row>
    <row r="87" spans="1:4">
      <c r="A87" s="3">
        <v>86</v>
      </c>
      <c r="B87">
        <v>611766.72</v>
      </c>
      <c r="C87" s="3">
        <v>639281.90931111178</v>
      </c>
      <c r="D87" s="3">
        <v>-27515.189311111812</v>
      </c>
    </row>
    <row r="88" spans="1:4">
      <c r="A88" s="3">
        <v>87</v>
      </c>
      <c r="B88">
        <v>614596.31999999995</v>
      </c>
      <c r="C88" s="3">
        <v>609919.52204225399</v>
      </c>
      <c r="D88" s="3">
        <v>4676.7979577459628</v>
      </c>
    </row>
    <row r="89" spans="1:4">
      <c r="A89" s="3">
        <v>88</v>
      </c>
      <c r="B89">
        <v>450711.92</v>
      </c>
      <c r="C89" s="3">
        <v>449350.53068910132</v>
      </c>
      <c r="D89" s="3">
        <v>1361.3893108986667</v>
      </c>
    </row>
    <row r="90" spans="1:4">
      <c r="A90" s="3">
        <v>89</v>
      </c>
      <c r="B90">
        <v>711213.46</v>
      </c>
      <c r="C90" s="3">
        <v>674252.67424195807</v>
      </c>
      <c r="D90" s="3">
        <v>36960.785758041893</v>
      </c>
    </row>
    <row r="91" spans="1:4">
      <c r="A91" s="3">
        <v>90</v>
      </c>
      <c r="B91">
        <v>627171.9</v>
      </c>
      <c r="C91" s="3">
        <v>749576.74066293577</v>
      </c>
      <c r="D91" s="3">
        <v>-122404.84066293575</v>
      </c>
    </row>
    <row r="92" spans="1:4">
      <c r="A92" s="3">
        <v>91</v>
      </c>
      <c r="B92">
        <v>739852.58</v>
      </c>
      <c r="C92" s="3">
        <v>714056.65990085108</v>
      </c>
      <c r="D92" s="3">
        <v>25795.920099148876</v>
      </c>
    </row>
    <row r="93" spans="1:4">
      <c r="A93" s="3">
        <v>92</v>
      </c>
      <c r="B93">
        <v>586307.22</v>
      </c>
      <c r="C93" s="3">
        <v>556415.72278639791</v>
      </c>
      <c r="D93" s="3">
        <v>29891.497213602066</v>
      </c>
    </row>
    <row r="94" spans="1:4">
      <c r="A94" s="3">
        <v>93</v>
      </c>
      <c r="B94">
        <v>585937.48</v>
      </c>
      <c r="C94" s="3">
        <v>595912.26296134666</v>
      </c>
      <c r="D94" s="3">
        <v>-9974.7829613466747</v>
      </c>
    </row>
    <row r="95" spans="1:4">
      <c r="A95" s="3">
        <v>94</v>
      </c>
      <c r="B95">
        <v>753473.55</v>
      </c>
      <c r="C95" s="3">
        <v>694775.77054104418</v>
      </c>
      <c r="D95" s="3">
        <v>58697.779458955862</v>
      </c>
    </row>
    <row r="96" spans="1:4">
      <c r="A96" s="3">
        <v>95</v>
      </c>
      <c r="B96">
        <v>838250.32</v>
      </c>
      <c r="C96" s="3">
        <v>768357.74590465322</v>
      </c>
      <c r="D96" s="3">
        <v>69892.574095346732</v>
      </c>
    </row>
    <row r="97" spans="1:4">
      <c r="A97" s="3">
        <v>96</v>
      </c>
      <c r="B97">
        <v>607898.12</v>
      </c>
      <c r="C97" s="3">
        <v>622397.79558101366</v>
      </c>
      <c r="D97" s="3">
        <v>-14499.675581013667</v>
      </c>
    </row>
    <row r="98" spans="1:4">
      <c r="A98" s="3">
        <v>97</v>
      </c>
      <c r="B98">
        <v>691113.62</v>
      </c>
      <c r="C98" s="3">
        <v>700732.10519438609</v>
      </c>
      <c r="D98" s="3">
        <v>-9618.4851943860995</v>
      </c>
    </row>
    <row r="99" spans="1:4">
      <c r="A99" s="3">
        <v>98</v>
      </c>
      <c r="B99">
        <v>735509.4</v>
      </c>
      <c r="C99" s="3">
        <v>664162.33312454366</v>
      </c>
      <c r="D99" s="3">
        <v>71347.066875456367</v>
      </c>
    </row>
    <row r="100" spans="1:4">
      <c r="A100" s="3">
        <v>99</v>
      </c>
      <c r="B100">
        <v>605775.32999999996</v>
      </c>
      <c r="C100" s="3">
        <v>614136.95353837358</v>
      </c>
      <c r="D100" s="3">
        <v>-8361.6235383736202</v>
      </c>
    </row>
    <row r="101" spans="1:4">
      <c r="A101" s="3">
        <v>100</v>
      </c>
      <c r="B101">
        <v>675177.68</v>
      </c>
      <c r="C101" s="3">
        <v>656278.39757856703</v>
      </c>
      <c r="D101" s="3">
        <v>18899.282421433018</v>
      </c>
    </row>
    <row r="102" spans="1:4">
      <c r="A102" s="3">
        <v>101</v>
      </c>
      <c r="B102">
        <v>635181.35</v>
      </c>
      <c r="C102" s="3">
        <v>600049.7330733682</v>
      </c>
      <c r="D102" s="3">
        <v>35131.616926631774</v>
      </c>
    </row>
    <row r="103" spans="1:4">
      <c r="A103" s="3">
        <v>102</v>
      </c>
      <c r="B103">
        <v>586626.93999999994</v>
      </c>
      <c r="C103" s="3">
        <v>633354.58638078999</v>
      </c>
      <c r="D103" s="3">
        <v>-46727.646380790044</v>
      </c>
    </row>
    <row r="104" spans="1:4">
      <c r="A104" s="3">
        <v>103</v>
      </c>
      <c r="B104">
        <v>740102.64</v>
      </c>
      <c r="C104" s="3">
        <v>718021.96104835439</v>
      </c>
      <c r="D104" s="3">
        <v>22080.678951645619</v>
      </c>
    </row>
    <row r="105" spans="1:4">
      <c r="A105" s="3">
        <v>104</v>
      </c>
      <c r="B105">
        <v>625514.04</v>
      </c>
      <c r="C105" s="3">
        <v>536502.95235631941</v>
      </c>
      <c r="D105" s="3">
        <v>89011.087643680628</v>
      </c>
    </row>
    <row r="106" spans="1:4">
      <c r="A106" s="3">
        <v>105</v>
      </c>
      <c r="B106">
        <v>727227.2</v>
      </c>
      <c r="C106" s="3">
        <v>688096.30195685499</v>
      </c>
      <c r="D106" s="3">
        <v>39130.89804314496</v>
      </c>
    </row>
    <row r="107" spans="1:4">
      <c r="A107" s="3">
        <v>106</v>
      </c>
      <c r="B107">
        <v>783797.89</v>
      </c>
      <c r="C107" s="3">
        <v>781930.905338782</v>
      </c>
      <c r="D107" s="3">
        <v>1866.9846612180118</v>
      </c>
    </row>
    <row r="108" spans="1:4">
      <c r="A108" s="3">
        <v>107</v>
      </c>
      <c r="B108">
        <v>795153.84</v>
      </c>
      <c r="C108" s="3">
        <v>717942.42011132347</v>
      </c>
      <c r="D108" s="3">
        <v>77211.419888676493</v>
      </c>
    </row>
    <row r="109" spans="1:4">
      <c r="A109" s="3">
        <v>108</v>
      </c>
      <c r="B109">
        <v>665594.93999999994</v>
      </c>
      <c r="C109" s="3">
        <v>661673.75919390237</v>
      </c>
      <c r="D109" s="3">
        <v>3921.1808060975745</v>
      </c>
    </row>
    <row r="110" spans="1:4">
      <c r="A110" s="3">
        <v>109</v>
      </c>
      <c r="B110">
        <v>709478.39</v>
      </c>
      <c r="C110" s="3">
        <v>685475.99534466118</v>
      </c>
      <c r="D110" s="3">
        <v>24002.394655338838</v>
      </c>
    </row>
    <row r="111" spans="1:4">
      <c r="A111" s="3">
        <v>110</v>
      </c>
      <c r="B111">
        <v>664162.49</v>
      </c>
      <c r="C111" s="3">
        <v>666732.34203178773</v>
      </c>
      <c r="D111" s="3">
        <v>-2569.852031787741</v>
      </c>
    </row>
    <row r="112" spans="1:4">
      <c r="A112" s="3">
        <v>111</v>
      </c>
      <c r="B112">
        <v>633494.21</v>
      </c>
      <c r="C112" s="3">
        <v>661864.07517325215</v>
      </c>
      <c r="D112" s="3">
        <v>-28369.865173252183</v>
      </c>
    </row>
    <row r="113" spans="1:4">
      <c r="A113" s="3">
        <v>112</v>
      </c>
      <c r="B113">
        <v>713611.16</v>
      </c>
      <c r="C113" s="3">
        <v>614705.40886911401</v>
      </c>
      <c r="D113" s="3">
        <v>98905.751130886027</v>
      </c>
    </row>
    <row r="114" spans="1:4">
      <c r="A114" s="3">
        <v>113</v>
      </c>
      <c r="B114">
        <v>778397.97</v>
      </c>
      <c r="C114" s="3">
        <v>743912.47039265058</v>
      </c>
      <c r="D114" s="3">
        <v>34485.499607349397</v>
      </c>
    </row>
    <row r="115" spans="1:4">
      <c r="A115" s="3">
        <v>114</v>
      </c>
      <c r="B115">
        <v>873380.02</v>
      </c>
      <c r="C115" s="3">
        <v>836858.05781189003</v>
      </c>
      <c r="D115" s="3">
        <v>36521.962188109988</v>
      </c>
    </row>
    <row r="116" spans="1:4">
      <c r="A116" s="3">
        <v>115</v>
      </c>
      <c r="B116">
        <v>697287.9</v>
      </c>
      <c r="C116" s="3">
        <v>755839.06476272945</v>
      </c>
      <c r="D116" s="3">
        <v>-58551.16476272943</v>
      </c>
    </row>
    <row r="117" spans="1:4">
      <c r="A117" s="3">
        <v>116</v>
      </c>
      <c r="B117">
        <v>718074.79</v>
      </c>
      <c r="C117" s="3">
        <v>759961.96117959823</v>
      </c>
      <c r="D117" s="3">
        <v>-41887.171179598197</v>
      </c>
    </row>
    <row r="118" spans="1:4">
      <c r="A118" s="3">
        <v>117</v>
      </c>
      <c r="B118">
        <v>714942.43</v>
      </c>
      <c r="C118" s="3">
        <v>712403.95817868435</v>
      </c>
      <c r="D118" s="3">
        <v>2538.471821315703</v>
      </c>
    </row>
    <row r="119" spans="1:4">
      <c r="A119" s="3">
        <v>118</v>
      </c>
      <c r="B119">
        <v>820519.04</v>
      </c>
      <c r="C119" s="3">
        <v>728422.71685700165</v>
      </c>
      <c r="D119" s="3">
        <v>92096.323142998386</v>
      </c>
    </row>
    <row r="120" spans="1:4">
      <c r="A120" s="3">
        <v>119</v>
      </c>
      <c r="B120">
        <v>684217.32</v>
      </c>
      <c r="C120" s="3">
        <v>751438.32502928912</v>
      </c>
      <c r="D120" s="3">
        <v>-67221.005029289168</v>
      </c>
    </row>
    <row r="121" spans="1:4">
      <c r="A121" s="3">
        <v>120</v>
      </c>
      <c r="B121">
        <v>735480.19</v>
      </c>
      <c r="C121" s="3">
        <v>739476.88507272641</v>
      </c>
      <c r="D121" s="3">
        <v>-3996.695072726463</v>
      </c>
    </row>
    <row r="122" spans="1:4">
      <c r="A122" s="3">
        <v>121</v>
      </c>
      <c r="B122">
        <v>509484.81</v>
      </c>
      <c r="C122" s="3">
        <v>555476.651448705</v>
      </c>
      <c r="D122" s="3">
        <v>-45991.841448705003</v>
      </c>
    </row>
    <row r="123" spans="1:4">
      <c r="A123" s="3">
        <v>122</v>
      </c>
      <c r="B123">
        <v>654317.09</v>
      </c>
      <c r="C123" s="3">
        <v>615083.46637260774</v>
      </c>
      <c r="D123" s="3">
        <v>39233.623627392226</v>
      </c>
    </row>
    <row r="124" spans="1:4">
      <c r="A124" s="3">
        <v>123</v>
      </c>
      <c r="B124">
        <v>557487.26</v>
      </c>
      <c r="C124" s="3">
        <v>587952.78491068142</v>
      </c>
      <c r="D124" s="3">
        <v>-30465.524910681415</v>
      </c>
    </row>
    <row r="125" spans="1:4">
      <c r="A125" s="3">
        <v>124</v>
      </c>
      <c r="B125">
        <v>441275.42</v>
      </c>
      <c r="C125" s="3">
        <v>505149.87835037307</v>
      </c>
      <c r="D125" s="3">
        <v>-63874.458350373083</v>
      </c>
    </row>
    <row r="126" spans="1:4">
      <c r="A126" s="3">
        <v>125</v>
      </c>
      <c r="B126">
        <v>914544.17</v>
      </c>
      <c r="C126" s="3">
        <v>811167.85225116368</v>
      </c>
      <c r="D126" s="3">
        <v>103376.31774883636</v>
      </c>
    </row>
    <row r="127" spans="1:4">
      <c r="A127" s="3">
        <v>126</v>
      </c>
      <c r="B127">
        <v>842439.67</v>
      </c>
      <c r="C127" s="3">
        <v>844780.52441563201</v>
      </c>
      <c r="D127" s="3">
        <v>-2340.8544156319695</v>
      </c>
    </row>
    <row r="128" spans="1:4">
      <c r="A128" s="3">
        <v>127</v>
      </c>
      <c r="B128">
        <v>842157.92</v>
      </c>
      <c r="C128" s="3">
        <v>777968.6141670011</v>
      </c>
      <c r="D128" s="3">
        <v>64189.305832998944</v>
      </c>
    </row>
    <row r="129" spans="1:4">
      <c r="A129" s="3">
        <v>128</v>
      </c>
      <c r="B129">
        <v>697155.3</v>
      </c>
      <c r="C129" s="3">
        <v>690633.28046122589</v>
      </c>
      <c r="D129" s="3">
        <v>6522.0195387741551</v>
      </c>
    </row>
    <row r="130" spans="1:4">
      <c r="A130" s="3">
        <v>129</v>
      </c>
      <c r="B130">
        <v>849018.3</v>
      </c>
      <c r="C130" s="3">
        <v>824738.10112559865</v>
      </c>
      <c r="D130" s="3">
        <v>24280.198874401394</v>
      </c>
    </row>
    <row r="131" spans="1:4">
      <c r="A131" s="3">
        <v>130</v>
      </c>
      <c r="B131">
        <v>801830.35</v>
      </c>
      <c r="C131" s="3">
        <v>805342.08093639452</v>
      </c>
      <c r="D131" s="3">
        <v>-3511.7309363945387</v>
      </c>
    </row>
    <row r="132" spans="1:4">
      <c r="A132" s="3">
        <v>131</v>
      </c>
      <c r="B132">
        <v>725235.28</v>
      </c>
      <c r="C132" s="3">
        <v>789419.21724732593</v>
      </c>
      <c r="D132" s="3">
        <v>-64183.937247325899</v>
      </c>
    </row>
    <row r="133" spans="1:4">
      <c r="A133" s="3">
        <v>132</v>
      </c>
      <c r="B133">
        <v>811452.72</v>
      </c>
      <c r="C133" s="3">
        <v>822454.46242299629</v>
      </c>
      <c r="D133" s="3">
        <v>-11001.742422996322</v>
      </c>
    </row>
    <row r="134" spans="1:4">
      <c r="A134" s="3">
        <v>133</v>
      </c>
      <c r="B134">
        <v>527300.13</v>
      </c>
      <c r="C134" s="3">
        <v>573783.83693743893</v>
      </c>
      <c r="D134" s="3">
        <v>-46483.706937438925</v>
      </c>
    </row>
    <row r="135" spans="1:4">
      <c r="A135" s="3">
        <v>134</v>
      </c>
      <c r="B135">
        <v>400831.65</v>
      </c>
      <c r="C135" s="3">
        <v>455747.68223519711</v>
      </c>
      <c r="D135" s="3">
        <v>-54916.032235197083</v>
      </c>
    </row>
    <row r="136" spans="1:4">
      <c r="A136" s="3">
        <v>135</v>
      </c>
      <c r="B136">
        <v>593247.25</v>
      </c>
      <c r="C136" s="3">
        <v>595007.36977158953</v>
      </c>
      <c r="D136" s="3">
        <v>-1760.119771589525</v>
      </c>
    </row>
    <row r="137" spans="1:4">
      <c r="A137" s="3">
        <v>136</v>
      </c>
      <c r="B137">
        <v>529075.94999999995</v>
      </c>
      <c r="C137" s="3">
        <v>543277.95675479877</v>
      </c>
      <c r="D137" s="3">
        <v>-14202.006754798815</v>
      </c>
    </row>
    <row r="138" spans="1:4">
      <c r="A138" s="3">
        <v>137</v>
      </c>
      <c r="B138">
        <v>633638.03</v>
      </c>
      <c r="C138" s="3">
        <v>708526.2807993521</v>
      </c>
      <c r="D138" s="3">
        <v>-74888.25079935207</v>
      </c>
    </row>
    <row r="139" spans="1:4">
      <c r="A139" s="3">
        <v>138</v>
      </c>
      <c r="B139">
        <v>743348.84</v>
      </c>
      <c r="C139" s="3">
        <v>712046.03818505432</v>
      </c>
      <c r="D139" s="3">
        <v>31302.801814945647</v>
      </c>
    </row>
    <row r="140" spans="1:4">
      <c r="A140" s="3">
        <v>139</v>
      </c>
      <c r="B140">
        <v>758827.64</v>
      </c>
      <c r="C140" s="3">
        <v>697677.94221060083</v>
      </c>
      <c r="D140" s="3">
        <v>61149.697789399186</v>
      </c>
    </row>
    <row r="141" spans="1:4">
      <c r="A141" s="3">
        <v>140</v>
      </c>
      <c r="B141">
        <v>646559.71</v>
      </c>
      <c r="C141" s="3">
        <v>630889.06619741139</v>
      </c>
      <c r="D141" s="3">
        <v>15670.643802588573</v>
      </c>
    </row>
    <row r="142" spans="1:4">
      <c r="A142" s="3">
        <v>141</v>
      </c>
      <c r="B142">
        <v>715890.53</v>
      </c>
      <c r="C142" s="3">
        <v>668079.78944148927</v>
      </c>
      <c r="D142" s="3">
        <v>47810.740558510763</v>
      </c>
    </row>
    <row r="143" spans="1:4">
      <c r="A143" s="3">
        <v>142</v>
      </c>
      <c r="B143">
        <v>715097.57</v>
      </c>
      <c r="C143" s="3">
        <v>686795.86514254031</v>
      </c>
      <c r="D143" s="3">
        <v>28301.704857459641</v>
      </c>
    </row>
    <row r="144" spans="1:4">
      <c r="A144" s="3">
        <v>143</v>
      </c>
      <c r="B144">
        <v>682639.28</v>
      </c>
      <c r="C144" s="3">
        <v>632252.13026528072</v>
      </c>
      <c r="D144" s="3">
        <v>50387.149734719307</v>
      </c>
    </row>
    <row r="145" spans="1:4">
      <c r="A145" s="3">
        <v>144</v>
      </c>
      <c r="B145">
        <v>695098.51</v>
      </c>
      <c r="C145" s="3">
        <v>670799.2227521626</v>
      </c>
      <c r="D145" s="3">
        <v>24299.287247837405</v>
      </c>
    </row>
    <row r="146" spans="1:4">
      <c r="A146" s="3">
        <v>145</v>
      </c>
      <c r="B146">
        <v>577732.56999999995</v>
      </c>
      <c r="C146" s="3">
        <v>623526.44914492988</v>
      </c>
      <c r="D146" s="3">
        <v>-45793.879144929931</v>
      </c>
    </row>
    <row r="147" spans="1:4">
      <c r="A147" s="3">
        <v>146</v>
      </c>
      <c r="B147">
        <v>537058.32999999996</v>
      </c>
      <c r="C147" s="3">
        <v>572070.91629182291</v>
      </c>
      <c r="D147" s="3">
        <v>-35012.586291822954</v>
      </c>
    </row>
    <row r="148" spans="1:4">
      <c r="A148" s="3">
        <v>147</v>
      </c>
      <c r="B148">
        <v>601568.87</v>
      </c>
      <c r="C148" s="3">
        <v>612120.18135274248</v>
      </c>
      <c r="D148" s="3">
        <v>-10551.311352742487</v>
      </c>
    </row>
    <row r="149" spans="1:4">
      <c r="A149" s="3">
        <v>148</v>
      </c>
      <c r="B149">
        <v>570964.84</v>
      </c>
      <c r="C149" s="3">
        <v>576915.47617916483</v>
      </c>
      <c r="D149" s="3">
        <v>-5950.6361791648669</v>
      </c>
    </row>
    <row r="150" spans="1:4">
      <c r="A150" s="3">
        <v>149</v>
      </c>
      <c r="B150">
        <v>614024.91</v>
      </c>
      <c r="C150" s="3">
        <v>645108.03822021722</v>
      </c>
      <c r="D150" s="3">
        <v>-31083.128220217186</v>
      </c>
    </row>
    <row r="151" spans="1:4">
      <c r="A151" s="3">
        <v>150</v>
      </c>
      <c r="B151">
        <v>712868.35</v>
      </c>
      <c r="C151" s="3">
        <v>709017.8167052404</v>
      </c>
      <c r="D151" s="3">
        <v>3850.5332947595743</v>
      </c>
    </row>
    <row r="152" spans="1:4">
      <c r="A152" s="3">
        <v>151</v>
      </c>
      <c r="B152">
        <v>696744.15</v>
      </c>
      <c r="C152" s="3">
        <v>667873.27129355876</v>
      </c>
      <c r="D152" s="3">
        <v>28870.878706441261</v>
      </c>
    </row>
    <row r="153" spans="1:4">
      <c r="A153" s="3">
        <v>152</v>
      </c>
      <c r="B153">
        <v>725847.99</v>
      </c>
      <c r="C153" s="3">
        <v>706912.45020334271</v>
      </c>
      <c r="D153" s="3">
        <v>18935.539796657278</v>
      </c>
    </row>
    <row r="154" spans="1:4">
      <c r="A154" s="3">
        <v>153</v>
      </c>
      <c r="B154">
        <v>785028.25</v>
      </c>
      <c r="C154" s="3">
        <v>801342.55832272035</v>
      </c>
      <c r="D154" s="3">
        <v>-16314.308322720346</v>
      </c>
    </row>
    <row r="155" spans="1:4">
      <c r="A155" s="3">
        <v>154</v>
      </c>
      <c r="B155">
        <v>698492.67</v>
      </c>
      <c r="C155" s="3">
        <v>688383.80571376276</v>
      </c>
      <c r="D155" s="3">
        <v>10108.86428623728</v>
      </c>
    </row>
    <row r="156" spans="1:4">
      <c r="A156" s="3">
        <v>155</v>
      </c>
      <c r="B156">
        <v>685830.24</v>
      </c>
      <c r="C156" s="3">
        <v>729145.92502360791</v>
      </c>
      <c r="D156" s="3">
        <v>-43315.685023607919</v>
      </c>
    </row>
    <row r="157" spans="1:4">
      <c r="A157" s="3">
        <v>156</v>
      </c>
      <c r="B157">
        <v>702318.94</v>
      </c>
      <c r="C157" s="3">
        <v>704262.23928248975</v>
      </c>
      <c r="D157" s="3">
        <v>-1943.2992824898101</v>
      </c>
    </row>
    <row r="158" spans="1:4">
      <c r="A158" s="3">
        <v>157</v>
      </c>
      <c r="B158">
        <v>700078.32</v>
      </c>
      <c r="C158" s="3">
        <v>714591.78436020832</v>
      </c>
      <c r="D158" s="3">
        <v>-14513.464360208367</v>
      </c>
    </row>
    <row r="159" spans="1:4">
      <c r="A159" s="3">
        <v>158</v>
      </c>
      <c r="B159">
        <v>602002.31999999995</v>
      </c>
      <c r="C159" s="3">
        <v>646562.27258420829</v>
      </c>
      <c r="D159" s="3">
        <v>-44559.952584208339</v>
      </c>
    </row>
    <row r="160" spans="1:4">
      <c r="A160" s="3">
        <v>159</v>
      </c>
      <c r="B160">
        <v>724216.07</v>
      </c>
      <c r="C160" s="3">
        <v>666525.66688099841</v>
      </c>
      <c r="D160" s="3">
        <v>57690.403119001538</v>
      </c>
    </row>
    <row r="161" spans="1:4">
      <c r="A161" s="3">
        <v>160</v>
      </c>
      <c r="B161">
        <v>620973.03</v>
      </c>
      <c r="C161" s="3">
        <v>576774.16012235242</v>
      </c>
      <c r="D161" s="3">
        <v>44198.869877647609</v>
      </c>
    </row>
    <row r="162" spans="1:4">
      <c r="A162" s="3">
        <v>161</v>
      </c>
      <c r="B162">
        <v>650480.06000000006</v>
      </c>
      <c r="C162" s="3">
        <v>694797.30302758492</v>
      </c>
      <c r="D162" s="3">
        <v>-44317.24302758486</v>
      </c>
    </row>
    <row r="163" spans="1:4">
      <c r="A163" s="3">
        <v>162</v>
      </c>
      <c r="B163">
        <v>778298.88</v>
      </c>
      <c r="C163" s="3">
        <v>690121.94047922373</v>
      </c>
      <c r="D163" s="3">
        <v>88176.939520776272</v>
      </c>
    </row>
    <row r="164" spans="1:4">
      <c r="A164" s="3">
        <v>163</v>
      </c>
      <c r="B164">
        <v>677096.71</v>
      </c>
      <c r="C164" s="3">
        <v>680548.33901322994</v>
      </c>
      <c r="D164" s="3">
        <v>-3451.6290132299764</v>
      </c>
    </row>
    <row r="165" spans="1:4">
      <c r="A165" s="3">
        <v>164</v>
      </c>
      <c r="B165">
        <v>692008.64</v>
      </c>
      <c r="C165" s="3">
        <v>688586.93751216424</v>
      </c>
      <c r="D165" s="3">
        <v>3421.702487835777</v>
      </c>
    </row>
    <row r="166" spans="1:4">
      <c r="A166" s="3">
        <v>165</v>
      </c>
      <c r="B166">
        <v>825797.91</v>
      </c>
      <c r="C166" s="3">
        <v>787862.76794416108</v>
      </c>
      <c r="D166" s="3">
        <v>37935.142055838951</v>
      </c>
    </row>
    <row r="167" spans="1:4">
      <c r="A167" s="3">
        <v>166</v>
      </c>
      <c r="B167">
        <v>706285.52</v>
      </c>
      <c r="C167" s="3">
        <v>736317.39310951182</v>
      </c>
      <c r="D167" s="3">
        <v>-30031.873109511798</v>
      </c>
    </row>
    <row r="168" spans="1:4">
      <c r="A168" s="3">
        <v>167</v>
      </c>
      <c r="B168">
        <v>665534.69999999995</v>
      </c>
      <c r="C168" s="3">
        <v>680843.86122078192</v>
      </c>
      <c r="D168" s="3">
        <v>-15309.161220781971</v>
      </c>
    </row>
    <row r="169" spans="1:4">
      <c r="A169" s="3">
        <v>168</v>
      </c>
      <c r="B169">
        <v>820729.29</v>
      </c>
      <c r="C169" s="3">
        <v>817950.17525495507</v>
      </c>
      <c r="D169" s="3">
        <v>2779.1147450449644</v>
      </c>
    </row>
    <row r="170" spans="1:4">
      <c r="A170" s="3">
        <v>169</v>
      </c>
      <c r="B170">
        <v>739831.73</v>
      </c>
      <c r="C170" s="3">
        <v>774457.17987961904</v>
      </c>
      <c r="D170" s="3">
        <v>-34625.44987961906</v>
      </c>
    </row>
    <row r="171" spans="1:4">
      <c r="A171" s="3">
        <v>170</v>
      </c>
      <c r="B171">
        <v>593637.14</v>
      </c>
      <c r="C171" s="3">
        <v>670874.78896276897</v>
      </c>
      <c r="D171" s="3">
        <v>-77237.648962768959</v>
      </c>
    </row>
    <row r="172" spans="1:4">
      <c r="A172" s="3">
        <v>171</v>
      </c>
      <c r="B172">
        <v>769702.76</v>
      </c>
      <c r="C172" s="3">
        <v>739860.48950555013</v>
      </c>
      <c r="D172" s="3">
        <v>29842.270494449884</v>
      </c>
    </row>
    <row r="173" spans="1:4">
      <c r="A173" s="3">
        <v>172</v>
      </c>
      <c r="B173">
        <v>679731.57</v>
      </c>
      <c r="C173" s="3">
        <v>695493.45205041766</v>
      </c>
      <c r="D173" s="3">
        <v>-15761.882050417713</v>
      </c>
    </row>
    <row r="174" spans="1:4">
      <c r="A174" s="3">
        <v>173</v>
      </c>
      <c r="B174">
        <v>780344.18</v>
      </c>
      <c r="C174" s="3">
        <v>778698.88396872173</v>
      </c>
      <c r="D174" s="3">
        <v>1645.2960312783252</v>
      </c>
    </row>
    <row r="175" spans="1:4">
      <c r="A175" s="3">
        <v>174</v>
      </c>
      <c r="B175">
        <v>721364.11</v>
      </c>
      <c r="C175" s="3">
        <v>762122.53563210554</v>
      </c>
      <c r="D175" s="3">
        <v>-40758.425632105558</v>
      </c>
    </row>
    <row r="176" spans="1:4">
      <c r="A176" s="3">
        <v>175</v>
      </c>
      <c r="B176">
        <v>758138.29</v>
      </c>
      <c r="C176" s="3">
        <v>787097.44663731242</v>
      </c>
      <c r="D176" s="3">
        <v>-28959.156637312379</v>
      </c>
    </row>
    <row r="177" spans="1:4">
      <c r="A177" s="3">
        <v>176</v>
      </c>
      <c r="B177">
        <v>804264</v>
      </c>
      <c r="C177" s="3">
        <v>830437.25743529748</v>
      </c>
      <c r="D177" s="3">
        <v>-26173.257435297477</v>
      </c>
    </row>
    <row r="178" spans="1:4">
      <c r="A178" s="3">
        <v>177</v>
      </c>
      <c r="B178">
        <v>887537.75</v>
      </c>
      <c r="C178" s="3">
        <v>849835.01054250752</v>
      </c>
      <c r="D178" s="3">
        <v>37702.739457492484</v>
      </c>
    </row>
    <row r="179" spans="1:4">
      <c r="A179" s="3">
        <v>178</v>
      </c>
      <c r="B179">
        <v>783582</v>
      </c>
      <c r="C179" s="3">
        <v>698856.15318475105</v>
      </c>
      <c r="D179" s="3">
        <v>84725.846815248951</v>
      </c>
    </row>
    <row r="180" spans="1:4">
      <c r="A180" s="3">
        <v>179</v>
      </c>
      <c r="B180">
        <v>781955.52</v>
      </c>
      <c r="C180" s="3">
        <v>730824.7883406434</v>
      </c>
      <c r="D180" s="3">
        <v>51130.731659356621</v>
      </c>
    </row>
    <row r="181" spans="1:4">
      <c r="A181" s="3">
        <v>180</v>
      </c>
      <c r="B181">
        <v>898031.04</v>
      </c>
      <c r="C181" s="3">
        <v>817931.29257459473</v>
      </c>
      <c r="D181" s="3">
        <v>80099.747425405309</v>
      </c>
    </row>
    <row r="182" spans="1:4">
      <c r="A182" s="3">
        <v>181</v>
      </c>
      <c r="B182">
        <v>855341.28</v>
      </c>
      <c r="C182" s="3">
        <v>848651.23442111805</v>
      </c>
      <c r="D182" s="3">
        <v>6690.0455788819818</v>
      </c>
    </row>
    <row r="183" spans="1:4">
      <c r="A183" s="3">
        <v>182</v>
      </c>
      <c r="B183">
        <v>751393.88</v>
      </c>
      <c r="C183" s="3">
        <v>749711.06895885384</v>
      </c>
      <c r="D183" s="3">
        <v>1682.8110411461676</v>
      </c>
    </row>
    <row r="184" spans="1:4">
      <c r="A184" s="3">
        <v>183</v>
      </c>
      <c r="B184">
        <v>761077.08</v>
      </c>
      <c r="C184" s="3">
        <v>759548.91737835563</v>
      </c>
      <c r="D184" s="3">
        <v>1528.1626216443256</v>
      </c>
    </row>
    <row r="185" spans="1:4">
      <c r="A185" s="3">
        <v>184</v>
      </c>
      <c r="B185">
        <v>819660.59</v>
      </c>
      <c r="C185" s="3">
        <v>824518.73609123321</v>
      </c>
      <c r="D185" s="3">
        <v>-4858.1460912332404</v>
      </c>
    </row>
    <row r="186" spans="1:4">
      <c r="A186" s="3">
        <v>185</v>
      </c>
      <c r="B186">
        <v>681855.56</v>
      </c>
      <c r="C186" s="3">
        <v>695201.88265572628</v>
      </c>
      <c r="D186" s="3">
        <v>-13346.322655726224</v>
      </c>
    </row>
    <row r="187" spans="1:4">
      <c r="A187" s="3">
        <v>186</v>
      </c>
      <c r="B187">
        <v>678311.17</v>
      </c>
      <c r="C187" s="3">
        <v>655296.62182884198</v>
      </c>
      <c r="D187" s="3">
        <v>23014.548171158065</v>
      </c>
    </row>
    <row r="188" spans="1:4">
      <c r="A188" s="3">
        <v>187</v>
      </c>
      <c r="B188">
        <v>765906.95</v>
      </c>
      <c r="C188" s="3">
        <v>697527.22703530057</v>
      </c>
      <c r="D188" s="3">
        <v>68379.72296469938</v>
      </c>
    </row>
    <row r="189" spans="1:4">
      <c r="A189" s="3">
        <v>188</v>
      </c>
      <c r="B189">
        <v>712546.38</v>
      </c>
      <c r="C189" s="3">
        <v>702170.05567344441</v>
      </c>
      <c r="D189" s="3">
        <v>10376.324326555594</v>
      </c>
    </row>
    <row r="190" spans="1:4">
      <c r="A190" s="3">
        <v>189</v>
      </c>
      <c r="B190">
        <v>625993.82999999996</v>
      </c>
      <c r="C190" s="3">
        <v>586461.15828822448</v>
      </c>
      <c r="D190" s="3">
        <v>39532.671711775474</v>
      </c>
    </row>
    <row r="191" spans="1:4">
      <c r="A191" s="3">
        <v>190</v>
      </c>
      <c r="B191">
        <v>550962.93000000005</v>
      </c>
      <c r="C191" s="3">
        <v>542404.63068913948</v>
      </c>
      <c r="D191" s="3">
        <v>8558.2993108605733</v>
      </c>
    </row>
    <row r="192" spans="1:4">
      <c r="A192" s="3">
        <v>191</v>
      </c>
      <c r="B192">
        <v>443275.59</v>
      </c>
      <c r="C192" s="3">
        <v>464668.35628460872</v>
      </c>
      <c r="D192" s="3">
        <v>-21392.76628460869</v>
      </c>
    </row>
    <row r="193" spans="1:4">
      <c r="A193" s="3">
        <v>192</v>
      </c>
      <c r="B193">
        <v>554012.06999999995</v>
      </c>
      <c r="C193" s="3">
        <v>604599.92731171637</v>
      </c>
      <c r="D193" s="3">
        <v>-50587.85731171642</v>
      </c>
    </row>
    <row r="194" spans="1:4">
      <c r="A194" s="3">
        <v>193</v>
      </c>
      <c r="B194">
        <v>643428.85</v>
      </c>
      <c r="C194" s="3">
        <v>692560.54630933143</v>
      </c>
      <c r="D194" s="3">
        <v>-49131.696309331455</v>
      </c>
    </row>
    <row r="195" spans="1:4">
      <c r="A195" s="3">
        <v>194</v>
      </c>
      <c r="B195">
        <v>611924.27</v>
      </c>
      <c r="C195" s="3">
        <v>623937.14415913634</v>
      </c>
      <c r="D195" s="3">
        <v>-12012.874159136321</v>
      </c>
    </row>
    <row r="196" spans="1:4">
      <c r="A196" s="3">
        <v>195</v>
      </c>
      <c r="B196">
        <v>559422.02</v>
      </c>
      <c r="C196" s="3">
        <v>559562.61469031486</v>
      </c>
      <c r="D196" s="3">
        <v>-140.59469031484332</v>
      </c>
    </row>
    <row r="197" spans="1:4">
      <c r="A197" s="3">
        <v>196</v>
      </c>
      <c r="B197">
        <v>449465.06</v>
      </c>
      <c r="C197" s="3">
        <v>535896.22695695376</v>
      </c>
      <c r="D197" s="3">
        <v>-86431.166956953763</v>
      </c>
    </row>
    <row r="198" spans="1:4">
      <c r="A198" s="3">
        <v>197</v>
      </c>
      <c r="B198">
        <v>691447.43</v>
      </c>
      <c r="C198" s="3">
        <v>645437.55172984232</v>
      </c>
      <c r="D198" s="3">
        <v>46009.878270157729</v>
      </c>
    </row>
    <row r="199" spans="1:4">
      <c r="A199" s="3">
        <v>198</v>
      </c>
      <c r="B199">
        <v>574066.61</v>
      </c>
      <c r="C199" s="3">
        <v>607226.60510191962</v>
      </c>
      <c r="D199" s="3">
        <v>-33159.995101919631</v>
      </c>
    </row>
    <row r="200" spans="1:4">
      <c r="A200" s="3">
        <v>199</v>
      </c>
      <c r="B200">
        <v>578949.84</v>
      </c>
      <c r="C200" s="3">
        <v>615759.57219234132</v>
      </c>
      <c r="D200" s="3">
        <v>-36809.732192341355</v>
      </c>
    </row>
    <row r="201" spans="1:4">
      <c r="A201" s="3">
        <v>200</v>
      </c>
      <c r="B201">
        <v>735786.64</v>
      </c>
      <c r="C201" s="3">
        <v>654705.36397770536</v>
      </c>
      <c r="D201" s="3">
        <v>81081.276022294653</v>
      </c>
    </row>
    <row r="202" spans="1:4">
      <c r="A202" s="3">
        <v>201</v>
      </c>
      <c r="B202">
        <v>598904.9</v>
      </c>
      <c r="C202" s="3">
        <v>604394.33128189028</v>
      </c>
      <c r="D202" s="3">
        <v>-5489.4312818902545</v>
      </c>
    </row>
    <row r="203" spans="1:4">
      <c r="A203" s="3">
        <v>202</v>
      </c>
      <c r="B203">
        <v>787715.51</v>
      </c>
      <c r="C203" s="3">
        <v>683430.47132614243</v>
      </c>
      <c r="D203" s="3">
        <v>104285.03867385758</v>
      </c>
    </row>
    <row r="204" spans="1:4">
      <c r="A204" s="3">
        <v>203</v>
      </c>
      <c r="B204">
        <v>607084.92000000004</v>
      </c>
      <c r="C204" s="3">
        <v>640957.47467596689</v>
      </c>
      <c r="D204" s="3">
        <v>-33872.55467596685</v>
      </c>
    </row>
    <row r="205" spans="1:4">
      <c r="A205" s="3">
        <v>204</v>
      </c>
      <c r="B205">
        <v>650795.49</v>
      </c>
      <c r="C205" s="3">
        <v>668784.27756018844</v>
      </c>
      <c r="D205" s="3">
        <v>-17988.787560188444</v>
      </c>
    </row>
    <row r="206" spans="1:4">
      <c r="A206" s="3">
        <v>205</v>
      </c>
      <c r="B206">
        <v>825060.52</v>
      </c>
      <c r="C206" s="3">
        <v>850374.70928851026</v>
      </c>
      <c r="D206" s="3">
        <v>-25314.189288510242</v>
      </c>
    </row>
    <row r="207" spans="1:4">
      <c r="A207" s="3">
        <v>206</v>
      </c>
      <c r="B207">
        <v>795464.47</v>
      </c>
      <c r="C207" s="3">
        <v>751735.10106563754</v>
      </c>
      <c r="D207" s="3">
        <v>43729.368934362428</v>
      </c>
    </row>
    <row r="208" spans="1:4">
      <c r="A208" s="3">
        <v>207</v>
      </c>
      <c r="B208">
        <v>671868.59</v>
      </c>
      <c r="C208" s="3">
        <v>747397.82829651074</v>
      </c>
      <c r="D208" s="3">
        <v>-75529.238296510768</v>
      </c>
    </row>
    <row r="209" spans="1:4">
      <c r="A209" s="3">
        <v>208</v>
      </c>
      <c r="B209">
        <v>675917.63</v>
      </c>
      <c r="C209" s="3">
        <v>767096.02048502665</v>
      </c>
      <c r="D209" s="3">
        <v>-91178.390485026641</v>
      </c>
    </row>
    <row r="210" spans="1:4">
      <c r="A210" s="3">
        <v>209</v>
      </c>
      <c r="B210">
        <v>810446.53</v>
      </c>
      <c r="C210" s="3">
        <v>801025.30368185136</v>
      </c>
      <c r="D210" s="3">
        <v>9421.2263181486633</v>
      </c>
    </row>
    <row r="211" spans="1:4">
      <c r="A211" s="3">
        <v>210</v>
      </c>
      <c r="B211">
        <v>691288.19</v>
      </c>
      <c r="C211" s="3">
        <v>771757.01188828202</v>
      </c>
      <c r="D211" s="3">
        <v>-80468.82188828208</v>
      </c>
    </row>
    <row r="212" spans="1:4">
      <c r="A212" s="3">
        <v>211</v>
      </c>
      <c r="B212">
        <v>946833.54</v>
      </c>
      <c r="C212" s="3">
        <v>959399.89970886963</v>
      </c>
      <c r="D212" s="3">
        <v>-12566.359708869597</v>
      </c>
    </row>
    <row r="213" spans="1:4">
      <c r="A213" s="3">
        <v>212</v>
      </c>
      <c r="B213">
        <v>761963.23</v>
      </c>
      <c r="C213" s="3">
        <v>772037.72511656117</v>
      </c>
      <c r="D213" s="3">
        <v>-10074.495116561186</v>
      </c>
    </row>
    <row r="214" spans="1:4">
      <c r="A214" s="3">
        <v>213</v>
      </c>
      <c r="B214">
        <v>812152.6</v>
      </c>
      <c r="C214" s="3">
        <v>773532.44801269239</v>
      </c>
      <c r="D214" s="3">
        <v>38620.151987307589</v>
      </c>
    </row>
    <row r="215" spans="1:4">
      <c r="A215" s="3">
        <v>214</v>
      </c>
      <c r="B215">
        <v>804975.5</v>
      </c>
      <c r="C215" s="3">
        <v>763667.13766024564</v>
      </c>
      <c r="D215" s="3">
        <v>41308.362339754356</v>
      </c>
    </row>
    <row r="216" spans="1:4">
      <c r="A216" s="3">
        <v>215</v>
      </c>
      <c r="B216">
        <v>752321.72</v>
      </c>
      <c r="C216" s="3">
        <v>754869.04413768812</v>
      </c>
      <c r="D216" s="3">
        <v>-2547.3241376881488</v>
      </c>
    </row>
    <row r="217" spans="1:4">
      <c r="A217" s="3">
        <v>216</v>
      </c>
      <c r="B217">
        <v>836908.24</v>
      </c>
      <c r="C217" s="3">
        <v>823306.48725054204</v>
      </c>
      <c r="D217" s="3">
        <v>13601.752749457955</v>
      </c>
    </row>
    <row r="218" spans="1:4">
      <c r="A218" s="3">
        <v>217</v>
      </c>
      <c r="B218">
        <v>674289.1</v>
      </c>
      <c r="C218" s="3">
        <v>636559.75668186857</v>
      </c>
      <c r="D218" s="3">
        <v>37729.343318131403</v>
      </c>
    </row>
    <row r="219" spans="1:4">
      <c r="A219" s="3">
        <v>218</v>
      </c>
      <c r="B219">
        <v>622892.42000000004</v>
      </c>
      <c r="C219" s="3">
        <v>616594.77824726142</v>
      </c>
      <c r="D219" s="3">
        <v>6297.641752738622</v>
      </c>
    </row>
    <row r="220" spans="1:4">
      <c r="A220" s="3">
        <v>219</v>
      </c>
      <c r="B220">
        <v>673348.56</v>
      </c>
      <c r="C220" s="3">
        <v>616519.26069390553</v>
      </c>
      <c r="D220" s="3">
        <v>56829.29930609453</v>
      </c>
    </row>
    <row r="221" spans="1:4">
      <c r="A221" s="3">
        <v>220</v>
      </c>
      <c r="B221">
        <v>606278.30000000005</v>
      </c>
      <c r="C221" s="3">
        <v>589544.27436705283</v>
      </c>
      <c r="D221" s="3">
        <v>16734.025632947218</v>
      </c>
    </row>
    <row r="222" spans="1:4">
      <c r="A222" s="3">
        <v>221</v>
      </c>
      <c r="B222">
        <v>712219.81</v>
      </c>
      <c r="C222" s="3">
        <v>704745.61760166101</v>
      </c>
      <c r="D222" s="3">
        <v>7474.1923983390443</v>
      </c>
    </row>
    <row r="223" spans="1:4">
      <c r="A223" s="3">
        <v>222</v>
      </c>
      <c r="B223">
        <v>672670.54</v>
      </c>
      <c r="C223" s="3">
        <v>676694.33463122486</v>
      </c>
      <c r="D223" s="3">
        <v>-4023.7946312248241</v>
      </c>
    </row>
    <row r="224" spans="1:4">
      <c r="A224" s="3">
        <v>223</v>
      </c>
      <c r="B224">
        <v>732667.92</v>
      </c>
      <c r="C224" s="3">
        <v>739858.13812017837</v>
      </c>
      <c r="D224" s="3">
        <v>-7190.2181201783242</v>
      </c>
    </row>
    <row r="225" spans="1:4">
      <c r="A225" s="3">
        <v>224</v>
      </c>
      <c r="B225">
        <v>723531.4</v>
      </c>
      <c r="C225" s="3">
        <v>759657.43381848489</v>
      </c>
      <c r="D225" s="3">
        <v>-36126.033818484866</v>
      </c>
    </row>
    <row r="226" spans="1:4">
      <c r="A226" s="3">
        <v>225</v>
      </c>
      <c r="B226">
        <v>641564.6</v>
      </c>
      <c r="C226" s="3">
        <v>627486.13826345035</v>
      </c>
      <c r="D226" s="3">
        <v>14078.461736549623</v>
      </c>
    </row>
    <row r="227" spans="1:4">
      <c r="A227" s="3">
        <v>226</v>
      </c>
      <c r="B227">
        <v>536545.49</v>
      </c>
      <c r="C227" s="3">
        <v>542513.66368048242</v>
      </c>
      <c r="D227" s="3">
        <v>-5968.1736804824322</v>
      </c>
    </row>
    <row r="228" spans="1:4">
      <c r="A228" s="3">
        <v>227</v>
      </c>
      <c r="B228">
        <v>527681.56000000006</v>
      </c>
      <c r="C228" s="3">
        <v>571415.83080103248</v>
      </c>
      <c r="D228" s="3">
        <v>-43734.270801032428</v>
      </c>
    </row>
    <row r="229" spans="1:4">
      <c r="A229" s="3">
        <v>228</v>
      </c>
      <c r="B229">
        <v>529598.93999999994</v>
      </c>
      <c r="C229" s="3">
        <v>518538.55174941401</v>
      </c>
      <c r="D229" s="3">
        <v>11060.388250585936</v>
      </c>
    </row>
    <row r="230" spans="1:4">
      <c r="A230" s="3">
        <v>229</v>
      </c>
      <c r="B230">
        <v>570963.31000000006</v>
      </c>
      <c r="C230" s="3">
        <v>627115.66019496438</v>
      </c>
      <c r="D230" s="3">
        <v>-56152.350194964325</v>
      </c>
    </row>
    <row r="231" spans="1:4">
      <c r="A231" s="3">
        <v>230</v>
      </c>
      <c r="B231">
        <v>870937.4</v>
      </c>
      <c r="C231" s="3">
        <v>818420.70140627411</v>
      </c>
      <c r="D231" s="3">
        <v>52516.698593725916</v>
      </c>
    </row>
    <row r="232" spans="1:4">
      <c r="A232" s="3">
        <v>231</v>
      </c>
      <c r="B232">
        <v>596969.27</v>
      </c>
      <c r="C232" s="3">
        <v>637532.05723424163</v>
      </c>
      <c r="D232" s="3">
        <v>-40562.787234241609</v>
      </c>
    </row>
    <row r="233" spans="1:4">
      <c r="A233" s="3">
        <v>232</v>
      </c>
      <c r="B233">
        <v>647512.85</v>
      </c>
      <c r="C233" s="3">
        <v>625191.72316503851</v>
      </c>
      <c r="D233" s="3">
        <v>22321.126834961469</v>
      </c>
    </row>
    <row r="234" spans="1:4">
      <c r="A234" s="3">
        <v>233</v>
      </c>
      <c r="B234">
        <v>658072.14</v>
      </c>
      <c r="C234" s="3">
        <v>609906.99195025361</v>
      </c>
      <c r="D234" s="3">
        <v>48165.148049746407</v>
      </c>
    </row>
    <row r="235" spans="1:4">
      <c r="A235" s="3">
        <v>234</v>
      </c>
      <c r="B235">
        <v>723305.11</v>
      </c>
      <c r="C235" s="3">
        <v>644088.49204268202</v>
      </c>
      <c r="D235" s="3">
        <v>79216.617957317969</v>
      </c>
    </row>
    <row r="236" spans="1:4">
      <c r="A236" s="3">
        <v>235</v>
      </c>
      <c r="B236">
        <v>640666.53</v>
      </c>
      <c r="C236" s="3">
        <v>626614.92580569454</v>
      </c>
      <c r="D236" s="3">
        <v>14051.604194305488</v>
      </c>
    </row>
    <row r="237" spans="1:4">
      <c r="A237" s="3">
        <v>236</v>
      </c>
      <c r="B237">
        <v>670629.48</v>
      </c>
      <c r="C237" s="3">
        <v>665475.50254032318</v>
      </c>
      <c r="D237" s="3">
        <v>5153.9774596767966</v>
      </c>
    </row>
    <row r="238" spans="1:4">
      <c r="A238" s="3">
        <v>237</v>
      </c>
      <c r="B238">
        <v>721079.35</v>
      </c>
      <c r="C238" s="3">
        <v>796864.92248285073</v>
      </c>
      <c r="D238" s="3">
        <v>-75785.572482850752</v>
      </c>
    </row>
    <row r="239" spans="1:4">
      <c r="A239" s="3">
        <v>238</v>
      </c>
      <c r="B239">
        <v>810355.02</v>
      </c>
      <c r="C239" s="3">
        <v>829923.4461803427</v>
      </c>
      <c r="D239" s="3">
        <v>-19568.426180342678</v>
      </c>
    </row>
    <row r="240" spans="1:4">
      <c r="A240" s="3">
        <v>239</v>
      </c>
      <c r="B240">
        <v>761919.25</v>
      </c>
      <c r="C240" s="3">
        <v>779295.22339961701</v>
      </c>
      <c r="D240" s="3">
        <v>-17375.973399617011</v>
      </c>
    </row>
    <row r="241" spans="1:4">
      <c r="A241" s="3">
        <v>240</v>
      </c>
      <c r="B241">
        <v>737070.18</v>
      </c>
      <c r="C241" s="3">
        <v>736187.0441227823</v>
      </c>
      <c r="D241" s="3">
        <v>883.1358772177482</v>
      </c>
    </row>
    <row r="242" spans="1:4">
      <c r="A242" s="3">
        <v>241</v>
      </c>
      <c r="B242">
        <v>776992.93</v>
      </c>
      <c r="C242" s="3">
        <v>734853.61500473809</v>
      </c>
      <c r="D242" s="3">
        <v>42139.314995261957</v>
      </c>
    </row>
    <row r="243" spans="1:4">
      <c r="A243" s="3">
        <v>242</v>
      </c>
      <c r="B243">
        <v>676337.41</v>
      </c>
      <c r="C243" s="3">
        <v>632473.81827580929</v>
      </c>
      <c r="D243" s="3">
        <v>43863.591724190745</v>
      </c>
    </row>
    <row r="244" spans="1:4">
      <c r="A244" s="3">
        <v>243</v>
      </c>
      <c r="B244">
        <v>828219.67</v>
      </c>
      <c r="C244" s="3">
        <v>801413.57998457598</v>
      </c>
      <c r="D244" s="3">
        <v>26806.090015424066</v>
      </c>
    </row>
    <row r="245" spans="1:4">
      <c r="A245" s="3">
        <v>244</v>
      </c>
      <c r="B245">
        <v>763159.92</v>
      </c>
      <c r="C245" s="3">
        <v>742634.33792358264</v>
      </c>
      <c r="D245" s="3">
        <v>20525.582076417399</v>
      </c>
    </row>
    <row r="246" spans="1:4">
      <c r="A246" s="3">
        <v>245</v>
      </c>
      <c r="B246">
        <v>802001.68</v>
      </c>
      <c r="C246" s="3">
        <v>788744.70847034734</v>
      </c>
      <c r="D246" s="3">
        <v>13256.971529652714</v>
      </c>
    </row>
    <row r="247" spans="1:4">
      <c r="A247" s="3">
        <v>246</v>
      </c>
      <c r="B247">
        <v>750471.34</v>
      </c>
      <c r="C247" s="3">
        <v>744884.00843099621</v>
      </c>
      <c r="D247" s="3">
        <v>5587.3315690037562</v>
      </c>
    </row>
    <row r="248" spans="1:4">
      <c r="A248" s="3">
        <v>247</v>
      </c>
      <c r="B248">
        <v>679230.86</v>
      </c>
      <c r="C248" s="3">
        <v>715825.77213770919</v>
      </c>
      <c r="D248" s="3">
        <v>-36594.912137709209</v>
      </c>
    </row>
    <row r="249" spans="1:4">
      <c r="A249" s="3">
        <v>248</v>
      </c>
      <c r="B249">
        <v>679888.74</v>
      </c>
      <c r="C249" s="3">
        <v>694683.80558862921</v>
      </c>
      <c r="D249" s="3">
        <v>-14795.065588629222</v>
      </c>
    </row>
    <row r="250" spans="1:4">
      <c r="A250" s="3">
        <v>249</v>
      </c>
      <c r="B250">
        <v>606783.67000000004</v>
      </c>
      <c r="C250" s="3">
        <v>591826.26553136145</v>
      </c>
      <c r="D250" s="3">
        <v>14957.40446863859</v>
      </c>
    </row>
    <row r="251" spans="1:4">
      <c r="A251" s="3">
        <v>250</v>
      </c>
      <c r="B251">
        <v>642751.42000000004</v>
      </c>
      <c r="C251" s="3">
        <v>650134.98923530988</v>
      </c>
      <c r="D251" s="3">
        <v>-7383.569235309842</v>
      </c>
    </row>
    <row r="252" spans="1:4">
      <c r="A252" s="3">
        <v>251</v>
      </c>
      <c r="B252">
        <v>647953.78</v>
      </c>
      <c r="C252" s="3">
        <v>648053.14781125658</v>
      </c>
      <c r="D252" s="3">
        <v>-99.367811256553978</v>
      </c>
    </row>
    <row r="253" spans="1:4">
      <c r="A253" s="3">
        <v>252</v>
      </c>
      <c r="B253">
        <v>729440.45</v>
      </c>
      <c r="C253" s="3">
        <v>707240.92536392109</v>
      </c>
      <c r="D253" s="3">
        <v>22199.524636078859</v>
      </c>
    </row>
    <row r="254" spans="1:4">
      <c r="A254" s="3">
        <v>253</v>
      </c>
      <c r="B254">
        <v>764949</v>
      </c>
      <c r="C254" s="3">
        <v>746014.56966395909</v>
      </c>
      <c r="D254" s="3">
        <v>18934.43033604091</v>
      </c>
    </row>
    <row r="255" spans="1:4">
      <c r="A255" s="3">
        <v>254</v>
      </c>
      <c r="B255">
        <v>799046.94</v>
      </c>
      <c r="C255" s="3">
        <v>698812.67043830687</v>
      </c>
      <c r="D255" s="3">
        <v>100234.26956169307</v>
      </c>
    </row>
    <row r="256" spans="1:4">
      <c r="A256" s="3">
        <v>255</v>
      </c>
      <c r="B256">
        <v>720079.54</v>
      </c>
      <c r="C256" s="3">
        <v>667077.18649801076</v>
      </c>
      <c r="D256" s="3">
        <v>53002.353501989273</v>
      </c>
    </row>
    <row r="257" spans="1:4">
      <c r="A257" s="3">
        <v>256</v>
      </c>
      <c r="B257">
        <v>612390.14</v>
      </c>
      <c r="C257" s="3">
        <v>627355.33659945452</v>
      </c>
      <c r="D257" s="3">
        <v>-14965.196599454503</v>
      </c>
    </row>
    <row r="258" spans="1:4">
      <c r="A258" s="3">
        <v>257</v>
      </c>
      <c r="B258">
        <v>840108.12</v>
      </c>
      <c r="C258" s="3">
        <v>755527.49658361543</v>
      </c>
      <c r="D258" s="3">
        <v>84580.623416384566</v>
      </c>
    </row>
    <row r="259" spans="1:4">
      <c r="A259" s="3">
        <v>258</v>
      </c>
      <c r="B259">
        <v>697888.09</v>
      </c>
      <c r="C259" s="3">
        <v>677586.16016676917</v>
      </c>
      <c r="D259" s="3">
        <v>20301.929833230795</v>
      </c>
    </row>
    <row r="260" spans="1:4">
      <c r="A260" s="3">
        <v>259</v>
      </c>
      <c r="B260">
        <v>746115.59</v>
      </c>
      <c r="C260" s="3">
        <v>745695.33961562288</v>
      </c>
      <c r="D260" s="3">
        <v>420.25038437708281</v>
      </c>
    </row>
    <row r="261" spans="1:4">
      <c r="A261" s="3">
        <v>260</v>
      </c>
      <c r="B261">
        <v>776110.32</v>
      </c>
      <c r="C261" s="3">
        <v>726129.55422017479</v>
      </c>
      <c r="D261" s="3">
        <v>49980.76577982516</v>
      </c>
    </row>
    <row r="262" spans="1:4">
      <c r="A262" s="3">
        <v>261</v>
      </c>
      <c r="B262">
        <v>528852.62</v>
      </c>
      <c r="C262" s="3">
        <v>515777.90530680912</v>
      </c>
      <c r="D262" s="3">
        <v>13074.714693190879</v>
      </c>
    </row>
    <row r="263" spans="1:4">
      <c r="A263" s="3">
        <v>262</v>
      </c>
      <c r="B263">
        <v>605751.32999999996</v>
      </c>
      <c r="C263" s="3">
        <v>598838.87365800154</v>
      </c>
      <c r="D263" s="3">
        <v>6912.4563419984188</v>
      </c>
    </row>
    <row r="264" spans="1:4">
      <c r="A264" s="3">
        <v>263</v>
      </c>
      <c r="B264">
        <v>677640.65</v>
      </c>
      <c r="C264" s="3">
        <v>601653.46923128562</v>
      </c>
      <c r="D264" s="3">
        <v>75987.180768714403</v>
      </c>
    </row>
    <row r="265" spans="1:4">
      <c r="A265" s="3">
        <v>264</v>
      </c>
      <c r="B265">
        <v>636613.23</v>
      </c>
      <c r="C265" s="3">
        <v>610706.93204525299</v>
      </c>
      <c r="D265" s="3">
        <v>25906.297954746988</v>
      </c>
    </row>
    <row r="266" spans="1:4">
      <c r="A266" s="3">
        <v>265</v>
      </c>
      <c r="B266">
        <v>708985.19</v>
      </c>
      <c r="C266" s="3">
        <v>727946.90396467119</v>
      </c>
      <c r="D266" s="3">
        <v>-18961.713964671246</v>
      </c>
    </row>
    <row r="267" spans="1:4">
      <c r="A267" s="3">
        <v>266</v>
      </c>
      <c r="B267">
        <v>767792.94</v>
      </c>
      <c r="C267" s="3">
        <v>740308.85249777918</v>
      </c>
      <c r="D267" s="3">
        <v>27484.087502220762</v>
      </c>
    </row>
    <row r="268" spans="1:4">
      <c r="A268" s="3">
        <v>267</v>
      </c>
      <c r="B268">
        <v>745580.51</v>
      </c>
      <c r="C268" s="3">
        <v>724447.39669174305</v>
      </c>
      <c r="D268" s="3">
        <v>21133.113308256958</v>
      </c>
    </row>
    <row r="269" spans="1:4">
      <c r="A269" s="3">
        <v>268</v>
      </c>
      <c r="B269">
        <v>762328.31</v>
      </c>
      <c r="C269" s="3">
        <v>726707.75470630918</v>
      </c>
      <c r="D269" s="3">
        <v>35620.555293690879</v>
      </c>
    </row>
    <row r="270" spans="1:4">
      <c r="A270" s="3">
        <v>269</v>
      </c>
      <c r="B270">
        <v>660633.99</v>
      </c>
      <c r="C270" s="3">
        <v>753570.82473685336</v>
      </c>
      <c r="D270" s="3">
        <v>-92936.834736853372</v>
      </c>
    </row>
    <row r="271" spans="1:4">
      <c r="A271" s="3">
        <v>270</v>
      </c>
      <c r="B271">
        <v>739374.56</v>
      </c>
      <c r="C271" s="3">
        <v>705732.29487512237</v>
      </c>
      <c r="D271" s="3">
        <v>33642.265124877682</v>
      </c>
    </row>
    <row r="272" spans="1:4">
      <c r="A272" s="3">
        <v>271</v>
      </c>
      <c r="B272">
        <v>799756.46</v>
      </c>
      <c r="C272" s="3">
        <v>819187.64921181847</v>
      </c>
      <c r="D272" s="3">
        <v>-19431.189211818506</v>
      </c>
    </row>
    <row r="273" spans="1:4">
      <c r="A273" s="3">
        <v>272</v>
      </c>
      <c r="B273">
        <v>593343</v>
      </c>
      <c r="C273" s="3">
        <v>684520.47492444585</v>
      </c>
      <c r="D273" s="3">
        <v>-91177.474924445851</v>
      </c>
    </row>
    <row r="274" spans="1:4">
      <c r="A274" s="3">
        <v>273</v>
      </c>
      <c r="B274">
        <v>645039.97</v>
      </c>
      <c r="C274" s="3">
        <v>632686.26359583763</v>
      </c>
      <c r="D274" s="3">
        <v>12353.706404162338</v>
      </c>
    </row>
    <row r="275" spans="1:4">
      <c r="A275" s="3">
        <v>274</v>
      </c>
      <c r="B275">
        <v>561597.32999999996</v>
      </c>
      <c r="C275" s="3">
        <v>522149.79982914688</v>
      </c>
      <c r="D275" s="3">
        <v>39447.530170853075</v>
      </c>
    </row>
    <row r="276" spans="1:4">
      <c r="A276" s="3">
        <v>275</v>
      </c>
      <c r="B276">
        <v>635837.74</v>
      </c>
      <c r="C276" s="3">
        <v>644462.78567585209</v>
      </c>
      <c r="D276" s="3">
        <v>-8625.0456758521032</v>
      </c>
    </row>
    <row r="277" spans="1:4">
      <c r="A277" s="3">
        <v>276</v>
      </c>
      <c r="B277">
        <v>686737.87</v>
      </c>
      <c r="C277" s="3">
        <v>601337.48539062368</v>
      </c>
      <c r="D277" s="3">
        <v>85400.384609376313</v>
      </c>
    </row>
    <row r="278" spans="1:4">
      <c r="A278" s="3">
        <v>277</v>
      </c>
      <c r="B278">
        <v>673076.34</v>
      </c>
      <c r="C278" s="3">
        <v>747819.00569535233</v>
      </c>
      <c r="D278" s="3">
        <v>-74742.665695352363</v>
      </c>
    </row>
    <row r="279" spans="1:4">
      <c r="A279" s="3">
        <v>278</v>
      </c>
      <c r="B279">
        <v>738548.42</v>
      </c>
      <c r="C279" s="3">
        <v>703561.47137336002</v>
      </c>
      <c r="D279" s="3">
        <v>34986.94862664002</v>
      </c>
    </row>
    <row r="280" spans="1:4">
      <c r="A280" s="3">
        <v>279</v>
      </c>
      <c r="B280">
        <v>756619.77</v>
      </c>
      <c r="C280" s="3">
        <v>755234.71126817225</v>
      </c>
      <c r="D280" s="3">
        <v>1385.0587318277685</v>
      </c>
    </row>
    <row r="281" spans="1:4">
      <c r="A281" s="3">
        <v>280</v>
      </c>
      <c r="B281">
        <v>761122.42</v>
      </c>
      <c r="C281" s="3">
        <v>774889.25644573756</v>
      </c>
      <c r="D281" s="3">
        <v>-13766.836445737514</v>
      </c>
    </row>
    <row r="282" spans="1:4">
      <c r="A282" s="3">
        <v>281</v>
      </c>
      <c r="B282">
        <v>524899.56999999995</v>
      </c>
      <c r="C282" s="3">
        <v>563548.2856222234</v>
      </c>
      <c r="D282" s="3">
        <v>-38648.715622223448</v>
      </c>
    </row>
    <row r="283" spans="1:4">
      <c r="A283" s="3">
        <v>282</v>
      </c>
      <c r="B283">
        <v>555557.77</v>
      </c>
      <c r="C283" s="3">
        <v>576276.06030264101</v>
      </c>
      <c r="D283" s="3">
        <v>-20718.290302640991</v>
      </c>
    </row>
    <row r="284" spans="1:4">
      <c r="A284" s="3">
        <v>283</v>
      </c>
      <c r="B284">
        <v>714083.68</v>
      </c>
      <c r="C284" s="3">
        <v>683243.3425630664</v>
      </c>
      <c r="D284" s="3">
        <v>30840.337436933652</v>
      </c>
    </row>
    <row r="285" spans="1:4">
      <c r="A285" s="3">
        <v>284</v>
      </c>
      <c r="B285">
        <v>497439.82</v>
      </c>
      <c r="C285" s="3">
        <v>491833.65230193082</v>
      </c>
      <c r="D285" s="3">
        <v>5606.1676980691846</v>
      </c>
    </row>
    <row r="286" spans="1:4">
      <c r="A286" s="3">
        <v>285</v>
      </c>
      <c r="B286">
        <v>636775.66</v>
      </c>
      <c r="C286" s="3">
        <v>641811.75518174702</v>
      </c>
      <c r="D286" s="3">
        <v>-5036.0951817469904</v>
      </c>
    </row>
    <row r="287" spans="1:4">
      <c r="A287" s="3">
        <v>286</v>
      </c>
      <c r="B287">
        <v>633009.53</v>
      </c>
      <c r="C287" s="3">
        <v>634746.682850749</v>
      </c>
      <c r="D287" s="3">
        <v>-1737.1528507489711</v>
      </c>
    </row>
    <row r="288" spans="1:4">
      <c r="A288" s="3">
        <v>287</v>
      </c>
      <c r="B288">
        <v>609949</v>
      </c>
      <c r="C288" s="3">
        <v>606154.68832712108</v>
      </c>
      <c r="D288" s="3">
        <v>3794.3116728789173</v>
      </c>
    </row>
    <row r="289" spans="1:4">
      <c r="A289" s="3">
        <v>288</v>
      </c>
      <c r="B289">
        <v>548103.69999999995</v>
      </c>
      <c r="C289" s="3">
        <v>558306.92107167386</v>
      </c>
      <c r="D289" s="3">
        <v>-10203.221071673906</v>
      </c>
    </row>
    <row r="290" spans="1:4">
      <c r="A290" s="3">
        <v>289</v>
      </c>
      <c r="B290">
        <v>729424.42</v>
      </c>
      <c r="C290" s="3">
        <v>711498.78475008486</v>
      </c>
      <c r="D290" s="3">
        <v>17925.635249915184</v>
      </c>
    </row>
    <row r="291" spans="1:4">
      <c r="A291" s="3">
        <v>290</v>
      </c>
      <c r="B291">
        <v>696261.49</v>
      </c>
      <c r="C291" s="3">
        <v>735071.03866949189</v>
      </c>
      <c r="D291" s="3">
        <v>-38809.548669491895</v>
      </c>
    </row>
    <row r="292" spans="1:4">
      <c r="A292" s="3">
        <v>291</v>
      </c>
      <c r="B292">
        <v>813316.71</v>
      </c>
      <c r="C292" s="3">
        <v>720506.08755321021</v>
      </c>
      <c r="D292" s="3">
        <v>92810.622446789755</v>
      </c>
    </row>
    <row r="293" spans="1:4">
      <c r="A293" s="3">
        <v>292</v>
      </c>
      <c r="B293">
        <v>702068.92</v>
      </c>
      <c r="C293" s="3">
        <v>717691.62929807976</v>
      </c>
      <c r="D293" s="3">
        <v>-15622.709298079717</v>
      </c>
    </row>
    <row r="294" spans="1:4">
      <c r="A294" s="3">
        <v>293</v>
      </c>
      <c r="B294">
        <v>546223.69999999995</v>
      </c>
      <c r="C294" s="3">
        <v>575366.47527635377</v>
      </c>
      <c r="D294" s="3">
        <v>-29142.775276353816</v>
      </c>
    </row>
    <row r="295" spans="1:4">
      <c r="A295" s="3">
        <v>294</v>
      </c>
      <c r="B295">
        <v>533121.26</v>
      </c>
      <c r="C295" s="3">
        <v>517820.23044471641</v>
      </c>
      <c r="D295" s="3">
        <v>15301.029555283603</v>
      </c>
    </row>
    <row r="296" spans="1:4">
      <c r="A296" s="3">
        <v>295</v>
      </c>
      <c r="B296">
        <v>498970.32</v>
      </c>
      <c r="C296" s="3">
        <v>491420.637601519</v>
      </c>
      <c r="D296" s="3">
        <v>7549.6823984810035</v>
      </c>
    </row>
    <row r="297" spans="1:4">
      <c r="A297" s="3">
        <v>296</v>
      </c>
      <c r="B297">
        <v>487738.26</v>
      </c>
      <c r="C297" s="3">
        <v>458630.73558227182</v>
      </c>
      <c r="D297" s="3">
        <v>29107.524417728186</v>
      </c>
    </row>
    <row r="298" spans="1:4">
      <c r="A298" s="3">
        <v>297</v>
      </c>
      <c r="B298">
        <v>668459.37</v>
      </c>
      <c r="C298" s="3">
        <v>667955.99004183733</v>
      </c>
      <c r="D298" s="3">
        <v>503.3799581626663</v>
      </c>
    </row>
    <row r="299" spans="1:4">
      <c r="A299" s="3">
        <v>298</v>
      </c>
      <c r="B299">
        <v>763162.45</v>
      </c>
      <c r="C299" s="3">
        <v>677299.07003993797</v>
      </c>
      <c r="D299" s="3">
        <v>85863.379960061982</v>
      </c>
    </row>
    <row r="300" spans="1:4">
      <c r="A300" s="3">
        <v>299</v>
      </c>
      <c r="B300">
        <v>599017.32999999996</v>
      </c>
      <c r="C300" s="3">
        <v>619212.94564175024</v>
      </c>
      <c r="D300" s="3">
        <v>-20195.615641750279</v>
      </c>
    </row>
    <row r="301" spans="1:4">
      <c r="A301" s="3">
        <v>300</v>
      </c>
      <c r="B301">
        <v>401582.58</v>
      </c>
      <c r="C301" s="3">
        <v>471075.87309023156</v>
      </c>
      <c r="D301" s="3">
        <v>-69493.293090231542</v>
      </c>
    </row>
    <row r="302" spans="1:4">
      <c r="A302" s="3">
        <v>301</v>
      </c>
      <c r="B302">
        <v>703812.99</v>
      </c>
      <c r="C302" s="3">
        <v>730803.27569008456</v>
      </c>
      <c r="D302" s="3">
        <v>-26990.285690084565</v>
      </c>
    </row>
    <row r="303" spans="1:4">
      <c r="A303" s="3">
        <v>302</v>
      </c>
      <c r="B303">
        <v>724346.73</v>
      </c>
      <c r="C303" s="3">
        <v>734680.73630349105</v>
      </c>
      <c r="D303" s="3">
        <v>-10334.006303491071</v>
      </c>
    </row>
    <row r="304" spans="1:4">
      <c r="A304" s="3">
        <v>303</v>
      </c>
      <c r="B304">
        <v>730890.01</v>
      </c>
      <c r="C304" s="3">
        <v>742939.06065773347</v>
      </c>
      <c r="D304" s="3">
        <v>-12049.05065773346</v>
      </c>
    </row>
    <row r="305" spans="1:4">
      <c r="A305" s="3">
        <v>304</v>
      </c>
      <c r="B305">
        <v>780580.95</v>
      </c>
      <c r="C305" s="3">
        <v>732677.69672008557</v>
      </c>
      <c r="D305" s="3">
        <v>47903.253279914381</v>
      </c>
    </row>
    <row r="306" spans="1:4">
      <c r="A306" s="3">
        <v>305</v>
      </c>
      <c r="B306">
        <v>727957.48</v>
      </c>
      <c r="C306" s="3">
        <v>692803.72397493816</v>
      </c>
      <c r="D306" s="3">
        <v>35153.756025061826</v>
      </c>
    </row>
    <row r="307" spans="1:4">
      <c r="A307" s="3">
        <v>306</v>
      </c>
      <c r="B307">
        <v>538376</v>
      </c>
      <c r="C307" s="3">
        <v>635292.15846079763</v>
      </c>
      <c r="D307" s="3">
        <v>-96916.158460797626</v>
      </c>
    </row>
    <row r="308" spans="1:4">
      <c r="A308" s="3">
        <v>307</v>
      </c>
      <c r="B308">
        <v>665342.49</v>
      </c>
      <c r="C308" s="3">
        <v>621177.94701717398</v>
      </c>
      <c r="D308" s="3">
        <v>44164.542982826009</v>
      </c>
    </row>
    <row r="309" spans="1:4">
      <c r="A309" s="3">
        <v>308</v>
      </c>
      <c r="B309">
        <v>651164.18000000005</v>
      </c>
      <c r="C309" s="3">
        <v>708415.02745191217</v>
      </c>
      <c r="D309" s="3">
        <v>-57250.847451912123</v>
      </c>
    </row>
    <row r="310" spans="1:4">
      <c r="A310" s="3">
        <v>309</v>
      </c>
      <c r="B310">
        <v>628538.30000000005</v>
      </c>
      <c r="C310" s="3">
        <v>638287.31120723253</v>
      </c>
      <c r="D310" s="3">
        <v>-9749.0112072324846</v>
      </c>
    </row>
    <row r="311" spans="1:4">
      <c r="A311" s="3">
        <v>310</v>
      </c>
      <c r="B311">
        <v>536524.84</v>
      </c>
      <c r="C311" s="3">
        <v>570085.0729036578</v>
      </c>
      <c r="D311" s="3">
        <v>-33560.23290365783</v>
      </c>
    </row>
    <row r="312" spans="1:4">
      <c r="A312" s="3">
        <v>311</v>
      </c>
      <c r="B312">
        <v>621677.30000000005</v>
      </c>
      <c r="C312" s="3">
        <v>628857.89939213824</v>
      </c>
      <c r="D312" s="3">
        <v>-7180.5993921381887</v>
      </c>
    </row>
    <row r="313" spans="1:4">
      <c r="A313" s="3">
        <v>312</v>
      </c>
      <c r="B313">
        <v>771129.07</v>
      </c>
      <c r="C313" s="3">
        <v>744536.59528704127</v>
      </c>
      <c r="D313" s="3">
        <v>26592.474712958676</v>
      </c>
    </row>
    <row r="314" spans="1:4">
      <c r="A314" s="3">
        <v>313</v>
      </c>
      <c r="B314">
        <v>702052.47</v>
      </c>
      <c r="C314" s="3">
        <v>681648.38652706053</v>
      </c>
      <c r="D314" s="3">
        <v>20404.083472939441</v>
      </c>
    </row>
    <row r="315" spans="1:4">
      <c r="A315" s="3">
        <v>314</v>
      </c>
      <c r="B315">
        <v>688368.46</v>
      </c>
      <c r="C315" s="3">
        <v>732460.509683282</v>
      </c>
      <c r="D315" s="3">
        <v>-44092.049683282035</v>
      </c>
    </row>
    <row r="316" spans="1:4">
      <c r="A316" s="3">
        <v>315</v>
      </c>
      <c r="B316">
        <v>712375.77</v>
      </c>
      <c r="C316" s="3">
        <v>694758.89478196832</v>
      </c>
      <c r="D316" s="3">
        <v>17616.875218031695</v>
      </c>
    </row>
    <row r="317" spans="1:4">
      <c r="A317" s="3">
        <v>316</v>
      </c>
      <c r="B317">
        <v>844710.67</v>
      </c>
      <c r="C317" s="3">
        <v>822207.61290679884</v>
      </c>
      <c r="D317" s="3">
        <v>22503.057093201205</v>
      </c>
    </row>
    <row r="318" spans="1:4">
      <c r="A318" s="3">
        <v>317</v>
      </c>
      <c r="B318">
        <v>620264.19999999995</v>
      </c>
      <c r="C318" s="3">
        <v>683337.84358029952</v>
      </c>
      <c r="D318" s="3">
        <v>-63073.643580299569</v>
      </c>
    </row>
    <row r="319" spans="1:4">
      <c r="A319" s="3">
        <v>318</v>
      </c>
      <c r="B319">
        <v>536845.42000000004</v>
      </c>
      <c r="C319" s="3">
        <v>534197.184162447</v>
      </c>
      <c r="D319" s="3">
        <v>2648.2358375530457</v>
      </c>
    </row>
    <row r="320" spans="1:4">
      <c r="A320" s="3">
        <v>319</v>
      </c>
      <c r="B320">
        <v>726776.22</v>
      </c>
      <c r="C320" s="3">
        <v>738310.82622039435</v>
      </c>
      <c r="D320" s="3">
        <v>-11534.606220394373</v>
      </c>
    </row>
    <row r="321" spans="1:4" ht="15" thickBot="1">
      <c r="A321" s="3">
        <v>320</v>
      </c>
      <c r="B321">
        <v>559660.84</v>
      </c>
      <c r="C321" s="4">
        <v>604622.48156685138</v>
      </c>
      <c r="D321" s="4">
        <v>-44961.641566851409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Model_Comparison</vt:lpstr>
      <vt:lpstr>Dummy_Variables</vt:lpstr>
      <vt:lpstr>Simple_Regression_1</vt:lpstr>
      <vt:lpstr>Simple_Regression_2</vt:lpstr>
      <vt:lpstr>Multiple_Regression</vt:lpstr>
      <vt:lpstr>Predictions_Residuals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2026-06-23T06:45:58Z</dcterms:created>
  <dcterms:modified xsi:type="dcterms:W3CDTF">2026-06-23T08:28:25Z</dcterms:modified>
</cp:coreProperties>
</file>